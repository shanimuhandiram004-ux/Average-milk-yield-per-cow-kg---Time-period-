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639093-DFDC-4099-8241-B1A142FDDE2D}" xr6:coauthVersionLast="47" xr6:coauthVersionMax="47" xr10:uidLastSave="{00000000-0000-0000-0000-000000000000}"/>
  <bookViews>
    <workbookView xWindow="-120" yWindow="-120" windowWidth="20730" windowHeight="11040" xr2:uid="{0EB3890A-7B78-4F7F-B76E-76F325659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4" i="1" l="1"/>
  <c r="S80" i="1"/>
  <c r="R79" i="1"/>
  <c r="R78" i="1"/>
  <c r="Q78" i="1"/>
  <c r="N80" i="1"/>
  <c r="M79" i="1"/>
  <c r="H79" i="1"/>
  <c r="M78" i="1"/>
  <c r="H78" i="1"/>
  <c r="L78" i="1"/>
  <c r="I80" i="1"/>
  <c r="G78" i="1"/>
  <c r="S7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6" i="1"/>
  <c r="S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5" i="1"/>
  <c r="R4" i="1"/>
  <c r="Q75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6" i="1"/>
  <c r="Q8" i="1"/>
  <c r="Q7" i="1"/>
  <c r="Q6" i="1"/>
  <c r="Q5" i="1"/>
  <c r="Q4" i="1"/>
  <c r="P7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6" i="1"/>
  <c r="P5" i="1"/>
  <c r="P4" i="1"/>
  <c r="O58" i="1"/>
  <c r="O57" i="1"/>
  <c r="O56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5" i="1"/>
  <c r="N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5" i="1"/>
  <c r="M4" i="1"/>
  <c r="L7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6" i="1"/>
  <c r="L5" i="1"/>
  <c r="L4" i="1"/>
  <c r="K7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6" i="1"/>
  <c r="K5" i="1"/>
  <c r="K4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I7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3" i="1"/>
  <c r="I74" i="1"/>
  <c r="I75" i="1"/>
  <c r="I76" i="1"/>
  <c r="I4" i="1"/>
  <c r="H7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6" i="1"/>
  <c r="H4" i="1"/>
  <c r="G4" i="1"/>
  <c r="G10" i="1"/>
  <c r="G42" i="1"/>
  <c r="F10" i="1"/>
  <c r="F18" i="1"/>
  <c r="G18" i="1" s="1"/>
  <c r="F26" i="1"/>
  <c r="G26" i="1" s="1"/>
  <c r="F34" i="1"/>
  <c r="G34" i="1" s="1"/>
  <c r="F42" i="1"/>
  <c r="F50" i="1"/>
  <c r="G50" i="1" s="1"/>
  <c r="F58" i="1"/>
  <c r="G58" i="1" s="1"/>
  <c r="F66" i="1"/>
  <c r="G66" i="1" s="1"/>
  <c r="F74" i="1"/>
  <c r="G74" i="1" s="1"/>
  <c r="E8" i="1"/>
  <c r="E9" i="1"/>
  <c r="E10" i="1"/>
  <c r="E16" i="1"/>
  <c r="E17" i="1"/>
  <c r="E18" i="1"/>
  <c r="E24" i="1"/>
  <c r="E25" i="1"/>
  <c r="E26" i="1"/>
  <c r="E32" i="1"/>
  <c r="E33" i="1"/>
  <c r="E34" i="1"/>
  <c r="E40" i="1"/>
  <c r="E41" i="1"/>
  <c r="E42" i="1"/>
  <c r="E48" i="1"/>
  <c r="E49" i="1"/>
  <c r="E50" i="1"/>
  <c r="E56" i="1"/>
  <c r="E57" i="1"/>
  <c r="E58" i="1"/>
  <c r="E64" i="1"/>
  <c r="E65" i="1"/>
  <c r="E66" i="1"/>
  <c r="E71" i="1"/>
  <c r="E73" i="1"/>
  <c r="E74" i="1"/>
  <c r="E75" i="1"/>
  <c r="D73" i="1"/>
  <c r="F73" i="1" s="1"/>
  <c r="G73" i="1" s="1"/>
  <c r="D5" i="1"/>
  <c r="D6" i="1"/>
  <c r="D7" i="1"/>
  <c r="D8" i="1"/>
  <c r="F8" i="1" s="1"/>
  <c r="G8" i="1" s="1"/>
  <c r="D9" i="1"/>
  <c r="F9" i="1" s="1"/>
  <c r="G9" i="1" s="1"/>
  <c r="D10" i="1"/>
  <c r="E11" i="1" s="1"/>
  <c r="D11" i="1"/>
  <c r="E12" i="1" s="1"/>
  <c r="F12" i="1" s="1"/>
  <c r="G12" i="1" s="1"/>
  <c r="D12" i="1"/>
  <c r="E13" i="1" s="1"/>
  <c r="D13" i="1"/>
  <c r="F13" i="1" s="1"/>
  <c r="G13" i="1" s="1"/>
  <c r="D14" i="1"/>
  <c r="D15" i="1"/>
  <c r="D16" i="1"/>
  <c r="F16" i="1" s="1"/>
  <c r="G16" i="1" s="1"/>
  <c r="D17" i="1"/>
  <c r="F17" i="1" s="1"/>
  <c r="G17" i="1" s="1"/>
  <c r="D18" i="1"/>
  <c r="E19" i="1" s="1"/>
  <c r="D19" i="1"/>
  <c r="E20" i="1" s="1"/>
  <c r="F20" i="1" s="1"/>
  <c r="G20" i="1" s="1"/>
  <c r="D20" i="1"/>
  <c r="E21" i="1" s="1"/>
  <c r="D21" i="1"/>
  <c r="F21" i="1" s="1"/>
  <c r="G21" i="1" s="1"/>
  <c r="D22" i="1"/>
  <c r="D23" i="1"/>
  <c r="D24" i="1"/>
  <c r="F24" i="1" s="1"/>
  <c r="G24" i="1" s="1"/>
  <c r="D25" i="1"/>
  <c r="F25" i="1" s="1"/>
  <c r="G25" i="1" s="1"/>
  <c r="D26" i="1"/>
  <c r="E27" i="1" s="1"/>
  <c r="D27" i="1"/>
  <c r="E28" i="1" s="1"/>
  <c r="F28" i="1" s="1"/>
  <c r="G28" i="1" s="1"/>
  <c r="D28" i="1"/>
  <c r="E29" i="1" s="1"/>
  <c r="D29" i="1"/>
  <c r="F29" i="1" s="1"/>
  <c r="G29" i="1" s="1"/>
  <c r="D30" i="1"/>
  <c r="D31" i="1"/>
  <c r="D32" i="1"/>
  <c r="F32" i="1" s="1"/>
  <c r="G32" i="1" s="1"/>
  <c r="D33" i="1"/>
  <c r="F33" i="1" s="1"/>
  <c r="G33" i="1" s="1"/>
  <c r="D34" i="1"/>
  <c r="E35" i="1" s="1"/>
  <c r="D35" i="1"/>
  <c r="E36" i="1" s="1"/>
  <c r="F36" i="1" s="1"/>
  <c r="G36" i="1" s="1"/>
  <c r="D36" i="1"/>
  <c r="E37" i="1" s="1"/>
  <c r="D37" i="1"/>
  <c r="F37" i="1" s="1"/>
  <c r="G37" i="1" s="1"/>
  <c r="D38" i="1"/>
  <c r="D39" i="1"/>
  <c r="D40" i="1"/>
  <c r="F40" i="1" s="1"/>
  <c r="G40" i="1" s="1"/>
  <c r="D41" i="1"/>
  <c r="F41" i="1" s="1"/>
  <c r="G41" i="1" s="1"/>
  <c r="D42" i="1"/>
  <c r="E43" i="1" s="1"/>
  <c r="D43" i="1"/>
  <c r="E44" i="1" s="1"/>
  <c r="F44" i="1" s="1"/>
  <c r="G44" i="1" s="1"/>
  <c r="D44" i="1"/>
  <c r="E45" i="1" s="1"/>
  <c r="D45" i="1"/>
  <c r="F45" i="1" s="1"/>
  <c r="G45" i="1" s="1"/>
  <c r="D46" i="1"/>
  <c r="D47" i="1"/>
  <c r="D48" i="1"/>
  <c r="F48" i="1" s="1"/>
  <c r="G48" i="1" s="1"/>
  <c r="D49" i="1"/>
  <c r="F49" i="1" s="1"/>
  <c r="G49" i="1" s="1"/>
  <c r="D50" i="1"/>
  <c r="E51" i="1" s="1"/>
  <c r="D51" i="1"/>
  <c r="E52" i="1" s="1"/>
  <c r="F52" i="1" s="1"/>
  <c r="G52" i="1" s="1"/>
  <c r="D52" i="1"/>
  <c r="E53" i="1" s="1"/>
  <c r="D53" i="1"/>
  <c r="F53" i="1" s="1"/>
  <c r="G53" i="1" s="1"/>
  <c r="D54" i="1"/>
  <c r="D55" i="1"/>
  <c r="D56" i="1"/>
  <c r="F56" i="1" s="1"/>
  <c r="G56" i="1" s="1"/>
  <c r="D57" i="1"/>
  <c r="F57" i="1" s="1"/>
  <c r="G57" i="1" s="1"/>
  <c r="D58" i="1"/>
  <c r="E59" i="1" s="1"/>
  <c r="D59" i="1"/>
  <c r="E60" i="1" s="1"/>
  <c r="F60" i="1" s="1"/>
  <c r="G60" i="1" s="1"/>
  <c r="D60" i="1"/>
  <c r="E61" i="1" s="1"/>
  <c r="D61" i="1"/>
  <c r="F61" i="1" s="1"/>
  <c r="G61" i="1" s="1"/>
  <c r="D62" i="1"/>
  <c r="D63" i="1"/>
  <c r="D64" i="1"/>
  <c r="F64" i="1" s="1"/>
  <c r="G64" i="1" s="1"/>
  <c r="D65" i="1"/>
  <c r="F65" i="1" s="1"/>
  <c r="G65" i="1" s="1"/>
  <c r="D66" i="1"/>
  <c r="E67" i="1" s="1"/>
  <c r="D67" i="1"/>
  <c r="E68" i="1" s="1"/>
  <c r="F68" i="1" s="1"/>
  <c r="G68" i="1" s="1"/>
  <c r="D68" i="1"/>
  <c r="E69" i="1" s="1"/>
  <c r="D69" i="1"/>
  <c r="F69" i="1" s="1"/>
  <c r="G69" i="1" s="1"/>
  <c r="D70" i="1"/>
  <c r="D71" i="1"/>
  <c r="F71" i="1" s="1"/>
  <c r="G71" i="1" s="1"/>
  <c r="D72" i="1"/>
  <c r="D74" i="1"/>
  <c r="D75" i="1"/>
  <c r="E76" i="1" s="1"/>
  <c r="D76" i="1"/>
  <c r="F76" i="1" s="1"/>
  <c r="G76" i="1" s="1"/>
  <c r="D4" i="1"/>
  <c r="D3" i="1"/>
  <c r="E4" i="1" s="1"/>
  <c r="F39" i="1" l="1"/>
  <c r="G39" i="1" s="1"/>
  <c r="F31" i="1"/>
  <c r="G31" i="1" s="1"/>
  <c r="F23" i="1"/>
  <c r="G23" i="1" s="1"/>
  <c r="F15" i="1"/>
  <c r="G15" i="1" s="1"/>
  <c r="F38" i="1"/>
  <c r="G38" i="1" s="1"/>
  <c r="F30" i="1"/>
  <c r="G30" i="1" s="1"/>
  <c r="F22" i="1"/>
  <c r="G22" i="1" s="1"/>
  <c r="F14" i="1"/>
  <c r="G14" i="1" s="1"/>
  <c r="F4" i="1"/>
  <c r="E72" i="1"/>
  <c r="F72" i="1" s="1"/>
  <c r="G72" i="1" s="1"/>
  <c r="E63" i="1"/>
  <c r="F63" i="1" s="1"/>
  <c r="G63" i="1" s="1"/>
  <c r="E55" i="1"/>
  <c r="F55" i="1" s="1"/>
  <c r="G55" i="1" s="1"/>
  <c r="E47" i="1"/>
  <c r="F47" i="1" s="1"/>
  <c r="G47" i="1" s="1"/>
  <c r="E39" i="1"/>
  <c r="E31" i="1"/>
  <c r="E23" i="1"/>
  <c r="E15" i="1"/>
  <c r="E7" i="1"/>
  <c r="F7" i="1" s="1"/>
  <c r="G7" i="1" s="1"/>
  <c r="F75" i="1"/>
  <c r="G75" i="1" s="1"/>
  <c r="F67" i="1"/>
  <c r="G67" i="1" s="1"/>
  <c r="F59" i="1"/>
  <c r="G59" i="1" s="1"/>
  <c r="F51" i="1"/>
  <c r="G51" i="1" s="1"/>
  <c r="F43" i="1"/>
  <c r="G43" i="1" s="1"/>
  <c r="F35" i="1"/>
  <c r="G35" i="1" s="1"/>
  <c r="F27" i="1"/>
  <c r="G27" i="1" s="1"/>
  <c r="F19" i="1"/>
  <c r="G19" i="1" s="1"/>
  <c r="F11" i="1"/>
  <c r="G11" i="1" s="1"/>
  <c r="E70" i="1"/>
  <c r="F70" i="1" s="1"/>
  <c r="G70" i="1" s="1"/>
  <c r="E46" i="1"/>
  <c r="F46" i="1" s="1"/>
  <c r="G46" i="1" s="1"/>
  <c r="E6" i="1"/>
  <c r="F6" i="1" s="1"/>
  <c r="G6" i="1" s="1"/>
  <c r="E5" i="1"/>
  <c r="F5" i="1" s="1"/>
  <c r="G5" i="1" s="1"/>
  <c r="E62" i="1"/>
  <c r="F62" i="1" s="1"/>
  <c r="G62" i="1" s="1"/>
  <c r="E38" i="1"/>
  <c r="E22" i="1"/>
  <c r="E54" i="1"/>
  <c r="F54" i="1" s="1"/>
  <c r="G54" i="1" s="1"/>
  <c r="E30" i="1"/>
  <c r="E14" i="1"/>
</calcChain>
</file>

<file path=xl/sharedStrings.xml><?xml version="1.0" encoding="utf-8"?>
<sst xmlns="http://schemas.openxmlformats.org/spreadsheetml/2006/main" count="21" uniqueCount="15">
  <si>
    <t>kg</t>
  </si>
  <si>
    <t>months</t>
  </si>
  <si>
    <t>Average milk yield per cow, kg - Time period</t>
  </si>
  <si>
    <t>Average milk yield per cow, kg - Time period-\month</t>
  </si>
  <si>
    <t>e</t>
  </si>
  <si>
    <t>abs e</t>
  </si>
  <si>
    <t>e^2</t>
  </si>
  <si>
    <t>simple average</t>
  </si>
  <si>
    <t>abs e/</t>
  </si>
  <si>
    <t>ma (s=24)</t>
  </si>
  <si>
    <t xml:space="preserve">abs </t>
  </si>
  <si>
    <t>MAE</t>
  </si>
  <si>
    <t>RMSE</t>
  </si>
  <si>
    <t>MASE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</si>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</sst>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milk yield per cow, kg -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Sheet1!$A$3:$A$76</c:f>
              <c:numCache>
                <c:formatCode>General</c:formatCode>
                <c:ptCount val="74"/>
                <c:pt idx="0">
                  <c:v>1940</c:v>
                </c:pt>
                <c:pt idx="1">
                  <c:v>1950</c:v>
                </c:pt>
                <c:pt idx="2">
                  <c:v>1953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  <c:pt idx="73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5-4AB3-BAA7-0496B863145A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kg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Sheet1!$B$3:$B$76</c:f>
              <c:numCache>
                <c:formatCode>General</c:formatCode>
                <c:ptCount val="74"/>
                <c:pt idx="0">
                  <c:v>1931</c:v>
                </c:pt>
                <c:pt idx="1">
                  <c:v>1879</c:v>
                </c:pt>
                <c:pt idx="2">
                  <c:v>2096</c:v>
                </c:pt>
                <c:pt idx="3">
                  <c:v>2003</c:v>
                </c:pt>
                <c:pt idx="4">
                  <c:v>2206</c:v>
                </c:pt>
                <c:pt idx="5">
                  <c:v>2405</c:v>
                </c:pt>
                <c:pt idx="6">
                  <c:v>2506</c:v>
                </c:pt>
                <c:pt idx="7">
                  <c:v>2625</c:v>
                </c:pt>
                <c:pt idx="8">
                  <c:v>2674</c:v>
                </c:pt>
                <c:pt idx="9">
                  <c:v>2588</c:v>
                </c:pt>
                <c:pt idx="10">
                  <c:v>2405</c:v>
                </c:pt>
                <c:pt idx="11">
                  <c:v>2269</c:v>
                </c:pt>
                <c:pt idx="12">
                  <c:v>2409</c:v>
                </c:pt>
                <c:pt idx="13">
                  <c:v>2797</c:v>
                </c:pt>
                <c:pt idx="14">
                  <c:v>2861</c:v>
                </c:pt>
                <c:pt idx="15">
                  <c:v>2903</c:v>
                </c:pt>
                <c:pt idx="16">
                  <c:v>3035</c:v>
                </c:pt>
                <c:pt idx="17">
                  <c:v>2984</c:v>
                </c:pt>
                <c:pt idx="18">
                  <c:v>2946</c:v>
                </c:pt>
                <c:pt idx="19">
                  <c:v>2942</c:v>
                </c:pt>
                <c:pt idx="20">
                  <c:v>2932</c:v>
                </c:pt>
                <c:pt idx="21">
                  <c:v>2900</c:v>
                </c:pt>
                <c:pt idx="22">
                  <c:v>3038</c:v>
                </c:pt>
                <c:pt idx="23">
                  <c:v>2984</c:v>
                </c:pt>
                <c:pt idx="24">
                  <c:v>3047</c:v>
                </c:pt>
                <c:pt idx="25">
                  <c:v>3199</c:v>
                </c:pt>
                <c:pt idx="26">
                  <c:v>2993</c:v>
                </c:pt>
                <c:pt idx="27">
                  <c:v>2897</c:v>
                </c:pt>
                <c:pt idx="28">
                  <c:v>2885</c:v>
                </c:pt>
                <c:pt idx="29">
                  <c:v>2796</c:v>
                </c:pt>
                <c:pt idx="30">
                  <c:v>2812</c:v>
                </c:pt>
                <c:pt idx="31">
                  <c:v>2995</c:v>
                </c:pt>
                <c:pt idx="32">
                  <c:v>3178</c:v>
                </c:pt>
                <c:pt idx="33">
                  <c:v>3394</c:v>
                </c:pt>
                <c:pt idx="34">
                  <c:v>3482</c:v>
                </c:pt>
                <c:pt idx="35">
                  <c:v>3550</c:v>
                </c:pt>
                <c:pt idx="36">
                  <c:v>3544</c:v>
                </c:pt>
                <c:pt idx="37">
                  <c:v>3636</c:v>
                </c:pt>
                <c:pt idx="38">
                  <c:v>3437</c:v>
                </c:pt>
                <c:pt idx="39">
                  <c:v>3205</c:v>
                </c:pt>
                <c:pt idx="40">
                  <c:v>2793</c:v>
                </c:pt>
                <c:pt idx="41">
                  <c:v>2741</c:v>
                </c:pt>
                <c:pt idx="42">
                  <c:v>2923</c:v>
                </c:pt>
                <c:pt idx="43">
                  <c:v>3074</c:v>
                </c:pt>
                <c:pt idx="44">
                  <c:v>3237</c:v>
                </c:pt>
                <c:pt idx="45">
                  <c:v>3585</c:v>
                </c:pt>
                <c:pt idx="46">
                  <c:v>3733</c:v>
                </c:pt>
                <c:pt idx="47">
                  <c:v>3754</c:v>
                </c:pt>
                <c:pt idx="48">
                  <c:v>3898</c:v>
                </c:pt>
                <c:pt idx="49">
                  <c:v>4055</c:v>
                </c:pt>
                <c:pt idx="50">
                  <c:v>3958</c:v>
                </c:pt>
                <c:pt idx="51">
                  <c:v>4261</c:v>
                </c:pt>
                <c:pt idx="52">
                  <c:v>4251</c:v>
                </c:pt>
                <c:pt idx="53">
                  <c:v>4364</c:v>
                </c:pt>
                <c:pt idx="54">
                  <c:v>4492</c:v>
                </c:pt>
                <c:pt idx="55">
                  <c:v>4636</c:v>
                </c:pt>
                <c:pt idx="56">
                  <c:v>4822</c:v>
                </c:pt>
                <c:pt idx="57">
                  <c:v>4892</c:v>
                </c:pt>
                <c:pt idx="58">
                  <c:v>4998</c:v>
                </c:pt>
                <c:pt idx="59">
                  <c:v>5064</c:v>
                </c:pt>
                <c:pt idx="60">
                  <c:v>5250</c:v>
                </c:pt>
                <c:pt idx="61">
                  <c:v>5508</c:v>
                </c:pt>
                <c:pt idx="62">
                  <c:v>5812</c:v>
                </c:pt>
                <c:pt idx="63">
                  <c:v>5905</c:v>
                </c:pt>
                <c:pt idx="64">
                  <c:v>6182</c:v>
                </c:pt>
                <c:pt idx="65">
                  <c:v>6525</c:v>
                </c:pt>
                <c:pt idx="66">
                  <c:v>6614</c:v>
                </c:pt>
                <c:pt idx="67">
                  <c:v>6891</c:v>
                </c:pt>
                <c:pt idx="68">
                  <c:v>7163</c:v>
                </c:pt>
                <c:pt idx="69">
                  <c:v>7362</c:v>
                </c:pt>
                <c:pt idx="70">
                  <c:v>7492</c:v>
                </c:pt>
                <c:pt idx="71">
                  <c:v>7748</c:v>
                </c:pt>
                <c:pt idx="72">
                  <c:v>8239</c:v>
                </c:pt>
                <c:pt idx="73">
                  <c:v>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5-4AB3-BAA7-0496B863145A}"/>
            </c:ext>
          </c:extLst>
        </c:ser>
        <c:ser>
          <c:idx val="2"/>
          <c:order val="2"/>
          <c:tx>
            <c:strRef>
              <c:f>Sheet1!$C$2</c:f>
              <c:strCache>
                <c:ptCount val="1"/>
                <c:pt idx="0">
                  <c:v>months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Sheet1!$C$3:$C$76</c:f>
              <c:numCache>
                <c:formatCode>General</c:formatCode>
                <c:ptCount val="7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5-4AB3-BAA7-0496B863145A}"/>
            </c:ext>
          </c:extLst>
        </c:ser>
        <c:ser>
          <c:idx val="3"/>
          <c:order val="3"/>
          <c:tx>
            <c:strRef>
              <c:f>Sheet1!$D$2</c:f>
              <c:strCache>
                <c:ptCount val="1"/>
                <c:pt idx="0">
                  <c:v>Average milk yield per cow, kg - Time period-\month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Sheet1!$D$3:$D$76</c:f>
              <c:numCache>
                <c:formatCode>General</c:formatCode>
                <c:ptCount val="74"/>
                <c:pt idx="0">
                  <c:v>160.91666666666666</c:v>
                </c:pt>
                <c:pt idx="1">
                  <c:v>156.58333333333334</c:v>
                </c:pt>
                <c:pt idx="2">
                  <c:v>174.66666666666666</c:v>
                </c:pt>
                <c:pt idx="3">
                  <c:v>166.91666666666666</c:v>
                </c:pt>
                <c:pt idx="4">
                  <c:v>183.83333333333334</c:v>
                </c:pt>
                <c:pt idx="5">
                  <c:v>200.41666666666666</c:v>
                </c:pt>
                <c:pt idx="6">
                  <c:v>208.83333333333334</c:v>
                </c:pt>
                <c:pt idx="7">
                  <c:v>218.75</c:v>
                </c:pt>
                <c:pt idx="8">
                  <c:v>222.83333333333334</c:v>
                </c:pt>
                <c:pt idx="9">
                  <c:v>215.66666666666666</c:v>
                </c:pt>
                <c:pt idx="10">
                  <c:v>200.41666666666666</c:v>
                </c:pt>
                <c:pt idx="11">
                  <c:v>189.08333333333334</c:v>
                </c:pt>
                <c:pt idx="12">
                  <c:v>200.75</c:v>
                </c:pt>
                <c:pt idx="13">
                  <c:v>233.08333333333334</c:v>
                </c:pt>
                <c:pt idx="14">
                  <c:v>238.41666666666666</c:v>
                </c:pt>
                <c:pt idx="15">
                  <c:v>241.91666666666666</c:v>
                </c:pt>
                <c:pt idx="16">
                  <c:v>252.91666666666666</c:v>
                </c:pt>
                <c:pt idx="17">
                  <c:v>248.66666666666666</c:v>
                </c:pt>
                <c:pt idx="18">
                  <c:v>245.5</c:v>
                </c:pt>
                <c:pt idx="19">
                  <c:v>245.16666666666666</c:v>
                </c:pt>
                <c:pt idx="20">
                  <c:v>244.33333333333334</c:v>
                </c:pt>
                <c:pt idx="21">
                  <c:v>241.66666666666666</c:v>
                </c:pt>
                <c:pt idx="22">
                  <c:v>253.16666666666666</c:v>
                </c:pt>
                <c:pt idx="23">
                  <c:v>248.66666666666666</c:v>
                </c:pt>
                <c:pt idx="24">
                  <c:v>253.91666666666666</c:v>
                </c:pt>
                <c:pt idx="25">
                  <c:v>266.58333333333331</c:v>
                </c:pt>
                <c:pt idx="26">
                  <c:v>249.41666666666666</c:v>
                </c:pt>
                <c:pt idx="27">
                  <c:v>241.41666666666666</c:v>
                </c:pt>
                <c:pt idx="28">
                  <c:v>240.41666666666666</c:v>
                </c:pt>
                <c:pt idx="29">
                  <c:v>233</c:v>
                </c:pt>
                <c:pt idx="30">
                  <c:v>234.33333333333334</c:v>
                </c:pt>
                <c:pt idx="31">
                  <c:v>249.58333333333334</c:v>
                </c:pt>
                <c:pt idx="32">
                  <c:v>264.83333333333331</c:v>
                </c:pt>
                <c:pt idx="33">
                  <c:v>282.83333333333331</c:v>
                </c:pt>
                <c:pt idx="34">
                  <c:v>290.16666666666669</c:v>
                </c:pt>
                <c:pt idx="35">
                  <c:v>295.83333333333331</c:v>
                </c:pt>
                <c:pt idx="36">
                  <c:v>295.33333333333331</c:v>
                </c:pt>
                <c:pt idx="37">
                  <c:v>303</c:v>
                </c:pt>
                <c:pt idx="38">
                  <c:v>286.41666666666669</c:v>
                </c:pt>
                <c:pt idx="39">
                  <c:v>267.08333333333331</c:v>
                </c:pt>
                <c:pt idx="40">
                  <c:v>232.75</c:v>
                </c:pt>
                <c:pt idx="41">
                  <c:v>228.41666666666666</c:v>
                </c:pt>
                <c:pt idx="42">
                  <c:v>243.58333333333334</c:v>
                </c:pt>
                <c:pt idx="43">
                  <c:v>256.16666666666669</c:v>
                </c:pt>
                <c:pt idx="44">
                  <c:v>269.75</c:v>
                </c:pt>
                <c:pt idx="45">
                  <c:v>298.75</c:v>
                </c:pt>
                <c:pt idx="46">
                  <c:v>311.08333333333331</c:v>
                </c:pt>
                <c:pt idx="47">
                  <c:v>312.83333333333331</c:v>
                </c:pt>
                <c:pt idx="48">
                  <c:v>324.83333333333331</c:v>
                </c:pt>
                <c:pt idx="49">
                  <c:v>337.91666666666669</c:v>
                </c:pt>
                <c:pt idx="50">
                  <c:v>329.83333333333331</c:v>
                </c:pt>
                <c:pt idx="51">
                  <c:v>355.08333333333331</c:v>
                </c:pt>
                <c:pt idx="52">
                  <c:v>354.25</c:v>
                </c:pt>
                <c:pt idx="53">
                  <c:v>363.66666666666669</c:v>
                </c:pt>
                <c:pt idx="54">
                  <c:v>374.33333333333331</c:v>
                </c:pt>
                <c:pt idx="55">
                  <c:v>386.33333333333331</c:v>
                </c:pt>
                <c:pt idx="56">
                  <c:v>401.83333333333331</c:v>
                </c:pt>
                <c:pt idx="57">
                  <c:v>407.66666666666669</c:v>
                </c:pt>
                <c:pt idx="58">
                  <c:v>416.5</c:v>
                </c:pt>
                <c:pt idx="59">
                  <c:v>422</c:v>
                </c:pt>
                <c:pt idx="60">
                  <c:v>437.5</c:v>
                </c:pt>
                <c:pt idx="61">
                  <c:v>459</c:v>
                </c:pt>
                <c:pt idx="62">
                  <c:v>484.33333333333331</c:v>
                </c:pt>
                <c:pt idx="63">
                  <c:v>492.08333333333331</c:v>
                </c:pt>
                <c:pt idx="64">
                  <c:v>515.16666666666663</c:v>
                </c:pt>
                <c:pt idx="65">
                  <c:v>543.75</c:v>
                </c:pt>
                <c:pt idx="66">
                  <c:v>551.16666666666663</c:v>
                </c:pt>
                <c:pt idx="67">
                  <c:v>574.25</c:v>
                </c:pt>
                <c:pt idx="68">
                  <c:v>596.91666666666663</c:v>
                </c:pt>
                <c:pt idx="69">
                  <c:v>613.5</c:v>
                </c:pt>
                <c:pt idx="70">
                  <c:v>624.33333333333337</c:v>
                </c:pt>
                <c:pt idx="71">
                  <c:v>645.66666666666663</c:v>
                </c:pt>
                <c:pt idx="72">
                  <c:v>686.58333333333337</c:v>
                </c:pt>
                <c:pt idx="73">
                  <c:v>722.91666666666663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15-4AB3-BAA7-0496B863145A}"/>
            </c:ext>
          </c:extLst>
        </c:ser>
        <c:ser>
          <c:idx val="4"/>
          <c:order val="4"/>
          <c:tx>
            <c:strRef>
              <c:f>Sheet1!$E$2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Sheet1!$E$3:$E$76</c:f>
              <c:numCache>
                <c:formatCode>General</c:formatCode>
                <c:ptCount val="74"/>
                <c:pt idx="1">
                  <c:v>160.91666666666666</c:v>
                </c:pt>
                <c:pt idx="2">
                  <c:v>156.58333333333334</c:v>
                </c:pt>
                <c:pt idx="3">
                  <c:v>174.66666666666666</c:v>
                </c:pt>
                <c:pt idx="4">
                  <c:v>166.91666666666666</c:v>
                </c:pt>
                <c:pt idx="5">
                  <c:v>183.83333333333334</c:v>
                </c:pt>
                <c:pt idx="6">
                  <c:v>200.41666666666666</c:v>
                </c:pt>
                <c:pt idx="7">
                  <c:v>208.83333333333334</c:v>
                </c:pt>
                <c:pt idx="8">
                  <c:v>218.75</c:v>
                </c:pt>
                <c:pt idx="9">
                  <c:v>222.83333333333334</c:v>
                </c:pt>
                <c:pt idx="10">
                  <c:v>215.66666666666666</c:v>
                </c:pt>
                <c:pt idx="11">
                  <c:v>200.41666666666666</c:v>
                </c:pt>
                <c:pt idx="12">
                  <c:v>189.08333333333334</c:v>
                </c:pt>
                <c:pt idx="13">
                  <c:v>200.75</c:v>
                </c:pt>
                <c:pt idx="14">
                  <c:v>233.08333333333334</c:v>
                </c:pt>
                <c:pt idx="15">
                  <c:v>238.41666666666666</c:v>
                </c:pt>
                <c:pt idx="16">
                  <c:v>241.91666666666666</c:v>
                </c:pt>
                <c:pt idx="17">
                  <c:v>252.91666666666666</c:v>
                </c:pt>
                <c:pt idx="18">
                  <c:v>248.66666666666666</c:v>
                </c:pt>
                <c:pt idx="19">
                  <c:v>245.5</c:v>
                </c:pt>
                <c:pt idx="20">
                  <c:v>245.16666666666666</c:v>
                </c:pt>
                <c:pt idx="21">
                  <c:v>244.33333333333334</c:v>
                </c:pt>
                <c:pt idx="22">
                  <c:v>241.66666666666666</c:v>
                </c:pt>
                <c:pt idx="23">
                  <c:v>253.16666666666666</c:v>
                </c:pt>
                <c:pt idx="24">
                  <c:v>248.66666666666666</c:v>
                </c:pt>
                <c:pt idx="25">
                  <c:v>253.91666666666666</c:v>
                </c:pt>
                <c:pt idx="26">
                  <c:v>266.58333333333331</c:v>
                </c:pt>
                <c:pt idx="27">
                  <c:v>249.41666666666666</c:v>
                </c:pt>
                <c:pt idx="28">
                  <c:v>241.41666666666666</c:v>
                </c:pt>
                <c:pt idx="29">
                  <c:v>240.41666666666666</c:v>
                </c:pt>
                <c:pt idx="30">
                  <c:v>233</c:v>
                </c:pt>
                <c:pt idx="31">
                  <c:v>234.33333333333334</c:v>
                </c:pt>
                <c:pt idx="32">
                  <c:v>249.58333333333334</c:v>
                </c:pt>
                <c:pt idx="33">
                  <c:v>264.83333333333331</c:v>
                </c:pt>
                <c:pt idx="34">
                  <c:v>282.83333333333331</c:v>
                </c:pt>
                <c:pt idx="35">
                  <c:v>290.16666666666669</c:v>
                </c:pt>
                <c:pt idx="36">
                  <c:v>295.83333333333331</c:v>
                </c:pt>
                <c:pt idx="37">
                  <c:v>295.33333333333331</c:v>
                </c:pt>
                <c:pt idx="38">
                  <c:v>303</c:v>
                </c:pt>
                <c:pt idx="39">
                  <c:v>286.41666666666669</c:v>
                </c:pt>
                <c:pt idx="40">
                  <c:v>267.08333333333331</c:v>
                </c:pt>
                <c:pt idx="41">
                  <c:v>232.75</c:v>
                </c:pt>
                <c:pt idx="42">
                  <c:v>228.41666666666666</c:v>
                </c:pt>
                <c:pt idx="43">
                  <c:v>243.58333333333334</c:v>
                </c:pt>
                <c:pt idx="44">
                  <c:v>256.16666666666669</c:v>
                </c:pt>
                <c:pt idx="45">
                  <c:v>269.75</c:v>
                </c:pt>
                <c:pt idx="46">
                  <c:v>298.75</c:v>
                </c:pt>
                <c:pt idx="47">
                  <c:v>311.08333333333331</c:v>
                </c:pt>
                <c:pt idx="48">
                  <c:v>312.83333333333331</c:v>
                </c:pt>
                <c:pt idx="49">
                  <c:v>324.83333333333331</c:v>
                </c:pt>
                <c:pt idx="50">
                  <c:v>337.91666666666669</c:v>
                </c:pt>
                <c:pt idx="51">
                  <c:v>329.83333333333331</c:v>
                </c:pt>
                <c:pt idx="52">
                  <c:v>355.08333333333331</c:v>
                </c:pt>
                <c:pt idx="53">
                  <c:v>354.25</c:v>
                </c:pt>
                <c:pt idx="54">
                  <c:v>363.66666666666669</c:v>
                </c:pt>
                <c:pt idx="55">
                  <c:v>374.33333333333331</c:v>
                </c:pt>
                <c:pt idx="56">
                  <c:v>386.33333333333331</c:v>
                </c:pt>
                <c:pt idx="57">
                  <c:v>401.83333333333331</c:v>
                </c:pt>
                <c:pt idx="58">
                  <c:v>407.66666666666669</c:v>
                </c:pt>
                <c:pt idx="59">
                  <c:v>416.5</c:v>
                </c:pt>
                <c:pt idx="60">
                  <c:v>422</c:v>
                </c:pt>
                <c:pt idx="61">
                  <c:v>437.5</c:v>
                </c:pt>
                <c:pt idx="62">
                  <c:v>459</c:v>
                </c:pt>
                <c:pt idx="63">
                  <c:v>484.33333333333331</c:v>
                </c:pt>
                <c:pt idx="64">
                  <c:v>492.08333333333331</c:v>
                </c:pt>
                <c:pt idx="65">
                  <c:v>515.16666666666663</c:v>
                </c:pt>
                <c:pt idx="66">
                  <c:v>543.75</c:v>
                </c:pt>
                <c:pt idx="67">
                  <c:v>551.16666666666663</c:v>
                </c:pt>
                <c:pt idx="68">
                  <c:v>574.25</c:v>
                </c:pt>
                <c:pt idx="69">
                  <c:v>596.91666666666663</c:v>
                </c:pt>
                <c:pt idx="70">
                  <c:v>613.5</c:v>
                </c:pt>
                <c:pt idx="71">
                  <c:v>624.33333333333337</c:v>
                </c:pt>
                <c:pt idx="72">
                  <c:v>645.66666666666663</c:v>
                </c:pt>
                <c:pt idx="73">
                  <c:v>686.58333333333337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15-4AB3-BAA7-0496B863145A}"/>
            </c:ext>
          </c:extLst>
        </c:ser>
        <c:ser>
          <c:idx val="5"/>
          <c:order val="5"/>
          <c:tx>
            <c:strRef>
              <c:f>Sheet1!$F$2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Sheet1!$F$3:$F$76</c:f>
              <c:numCache>
                <c:formatCode>General</c:formatCode>
                <c:ptCount val="74"/>
                <c:pt idx="1">
                  <c:v>-4.3333333333333144</c:v>
                </c:pt>
                <c:pt idx="2">
                  <c:v>18.083333333333314</c:v>
                </c:pt>
                <c:pt idx="3">
                  <c:v>-7.75</c:v>
                </c:pt>
                <c:pt idx="4">
                  <c:v>16.916666666666686</c:v>
                </c:pt>
                <c:pt idx="5">
                  <c:v>16.583333333333314</c:v>
                </c:pt>
                <c:pt idx="6">
                  <c:v>8.4166666666666856</c:v>
                </c:pt>
                <c:pt idx="7">
                  <c:v>9.9166666666666572</c:v>
                </c:pt>
                <c:pt idx="8">
                  <c:v>4.0833333333333428</c:v>
                </c:pt>
                <c:pt idx="9">
                  <c:v>-7.1666666666666856</c:v>
                </c:pt>
                <c:pt idx="10">
                  <c:v>-15.25</c:v>
                </c:pt>
                <c:pt idx="11">
                  <c:v>-11.333333333333314</c:v>
                </c:pt>
                <c:pt idx="12">
                  <c:v>11.666666666666657</c:v>
                </c:pt>
                <c:pt idx="13">
                  <c:v>32.333333333333343</c:v>
                </c:pt>
                <c:pt idx="14">
                  <c:v>5.3333333333333144</c:v>
                </c:pt>
                <c:pt idx="15">
                  <c:v>3.5</c:v>
                </c:pt>
                <c:pt idx="16">
                  <c:v>11</c:v>
                </c:pt>
                <c:pt idx="17">
                  <c:v>-4.25</c:v>
                </c:pt>
                <c:pt idx="18">
                  <c:v>-3.1666666666666572</c:v>
                </c:pt>
                <c:pt idx="19">
                  <c:v>-0.33333333333334281</c:v>
                </c:pt>
                <c:pt idx="20">
                  <c:v>-0.83333333333331439</c:v>
                </c:pt>
                <c:pt idx="21">
                  <c:v>-2.6666666666666856</c:v>
                </c:pt>
                <c:pt idx="22">
                  <c:v>11.5</c:v>
                </c:pt>
                <c:pt idx="23">
                  <c:v>-4.5</c:v>
                </c:pt>
                <c:pt idx="24">
                  <c:v>5.25</c:v>
                </c:pt>
                <c:pt idx="25">
                  <c:v>12.666666666666657</c:v>
                </c:pt>
                <c:pt idx="26">
                  <c:v>-17.166666666666657</c:v>
                </c:pt>
                <c:pt idx="27">
                  <c:v>-8</c:v>
                </c:pt>
                <c:pt idx="28">
                  <c:v>-1</c:v>
                </c:pt>
                <c:pt idx="29">
                  <c:v>-7.4166666666666572</c:v>
                </c:pt>
                <c:pt idx="30">
                  <c:v>1.3333333333333428</c:v>
                </c:pt>
                <c:pt idx="31">
                  <c:v>15.25</c:v>
                </c:pt>
                <c:pt idx="32">
                  <c:v>15.249999999999972</c:v>
                </c:pt>
                <c:pt idx="33">
                  <c:v>18</c:v>
                </c:pt>
                <c:pt idx="34">
                  <c:v>7.3333333333333712</c:v>
                </c:pt>
                <c:pt idx="35">
                  <c:v>5.6666666666666288</c:v>
                </c:pt>
                <c:pt idx="36">
                  <c:v>-0.5</c:v>
                </c:pt>
                <c:pt idx="37">
                  <c:v>7.6666666666666856</c:v>
                </c:pt>
                <c:pt idx="38">
                  <c:v>-16.583333333333314</c:v>
                </c:pt>
                <c:pt idx="39">
                  <c:v>-19.333333333333371</c:v>
                </c:pt>
                <c:pt idx="40">
                  <c:v>-34.333333333333314</c:v>
                </c:pt>
                <c:pt idx="41">
                  <c:v>-4.3333333333333428</c:v>
                </c:pt>
                <c:pt idx="42">
                  <c:v>15.166666666666686</c:v>
                </c:pt>
                <c:pt idx="43">
                  <c:v>12.583333333333343</c:v>
                </c:pt>
                <c:pt idx="44">
                  <c:v>13.583333333333314</c:v>
                </c:pt>
                <c:pt idx="45">
                  <c:v>29</c:v>
                </c:pt>
                <c:pt idx="46">
                  <c:v>12.333333333333314</c:v>
                </c:pt>
                <c:pt idx="47">
                  <c:v>1.75</c:v>
                </c:pt>
                <c:pt idx="48">
                  <c:v>12</c:v>
                </c:pt>
                <c:pt idx="49">
                  <c:v>13.083333333333371</c:v>
                </c:pt>
                <c:pt idx="50">
                  <c:v>-8.0833333333333712</c:v>
                </c:pt>
                <c:pt idx="51">
                  <c:v>25.25</c:v>
                </c:pt>
                <c:pt idx="52">
                  <c:v>-0.83333333333331439</c:v>
                </c:pt>
                <c:pt idx="53">
                  <c:v>9.4166666666666856</c:v>
                </c:pt>
                <c:pt idx="54">
                  <c:v>10.666666666666629</c:v>
                </c:pt>
                <c:pt idx="55">
                  <c:v>12</c:v>
                </c:pt>
                <c:pt idx="56">
                  <c:v>15.5</c:v>
                </c:pt>
                <c:pt idx="57">
                  <c:v>5.8333333333333712</c:v>
                </c:pt>
                <c:pt idx="58">
                  <c:v>8.8333333333333144</c:v>
                </c:pt>
                <c:pt idx="59">
                  <c:v>5.5</c:v>
                </c:pt>
                <c:pt idx="60">
                  <c:v>15.5</c:v>
                </c:pt>
                <c:pt idx="61">
                  <c:v>21.5</c:v>
                </c:pt>
                <c:pt idx="62">
                  <c:v>25.333333333333314</c:v>
                </c:pt>
                <c:pt idx="63">
                  <c:v>7.75</c:v>
                </c:pt>
                <c:pt idx="64">
                  <c:v>23.083333333333314</c:v>
                </c:pt>
                <c:pt idx="65">
                  <c:v>28.583333333333371</c:v>
                </c:pt>
                <c:pt idx="66">
                  <c:v>7.4166666666666288</c:v>
                </c:pt>
                <c:pt idx="67">
                  <c:v>23.083333333333371</c:v>
                </c:pt>
                <c:pt idx="68">
                  <c:v>22.666666666666629</c:v>
                </c:pt>
                <c:pt idx="69">
                  <c:v>16.583333333333371</c:v>
                </c:pt>
                <c:pt idx="70">
                  <c:v>10.833333333333371</c:v>
                </c:pt>
                <c:pt idx="71">
                  <c:v>21.333333333333258</c:v>
                </c:pt>
                <c:pt idx="72">
                  <c:v>40.916666666666742</c:v>
                </c:pt>
                <c:pt idx="73">
                  <c:v>36.333333333333258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15-4AB3-BAA7-0496B863145A}"/>
            </c:ext>
          </c:extLst>
        </c:ser>
        <c:ser>
          <c:idx val="6"/>
          <c:order val="6"/>
          <c:tx>
            <c:strRef>
              <c:f>Sheet1!$G$2</c:f>
              <c:strCache>
                <c:ptCount val="1"/>
                <c:pt idx="0">
                  <c:v>abs 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Sheet1!$G$3:$G$76</c:f>
              <c:numCache>
                <c:formatCode>General</c:formatCode>
                <c:ptCount val="74"/>
                <c:pt idx="1">
                  <c:v>4.3333333333333144</c:v>
                </c:pt>
                <c:pt idx="2">
                  <c:v>18.083333333333314</c:v>
                </c:pt>
                <c:pt idx="3">
                  <c:v>7.75</c:v>
                </c:pt>
                <c:pt idx="4">
                  <c:v>16.916666666666686</c:v>
                </c:pt>
                <c:pt idx="5">
                  <c:v>16.583333333333314</c:v>
                </c:pt>
                <c:pt idx="6">
                  <c:v>8.4166666666666856</c:v>
                </c:pt>
                <c:pt idx="7">
                  <c:v>9.9166666666666572</c:v>
                </c:pt>
                <c:pt idx="8">
                  <c:v>4.0833333333333428</c:v>
                </c:pt>
                <c:pt idx="9">
                  <c:v>7.1666666666666856</c:v>
                </c:pt>
                <c:pt idx="10">
                  <c:v>15.25</c:v>
                </c:pt>
                <c:pt idx="11">
                  <c:v>11.333333333333314</c:v>
                </c:pt>
                <c:pt idx="12">
                  <c:v>11.666666666666657</c:v>
                </c:pt>
                <c:pt idx="13">
                  <c:v>32.333333333333343</c:v>
                </c:pt>
                <c:pt idx="14">
                  <c:v>5.3333333333333144</c:v>
                </c:pt>
                <c:pt idx="15">
                  <c:v>3.5</c:v>
                </c:pt>
                <c:pt idx="16">
                  <c:v>11</c:v>
                </c:pt>
                <c:pt idx="17">
                  <c:v>4.25</c:v>
                </c:pt>
                <c:pt idx="18">
                  <c:v>3.1666666666666572</c:v>
                </c:pt>
                <c:pt idx="19">
                  <c:v>0.33333333333334281</c:v>
                </c:pt>
                <c:pt idx="20">
                  <c:v>0.83333333333331439</c:v>
                </c:pt>
                <c:pt idx="21">
                  <c:v>2.6666666666666856</c:v>
                </c:pt>
                <c:pt idx="22">
                  <c:v>11.5</c:v>
                </c:pt>
                <c:pt idx="23">
                  <c:v>4.5</c:v>
                </c:pt>
                <c:pt idx="24">
                  <c:v>5.25</c:v>
                </c:pt>
                <c:pt idx="25">
                  <c:v>12.666666666666657</c:v>
                </c:pt>
                <c:pt idx="26">
                  <c:v>17.166666666666657</c:v>
                </c:pt>
                <c:pt idx="27">
                  <c:v>8</c:v>
                </c:pt>
                <c:pt idx="28">
                  <c:v>1</c:v>
                </c:pt>
                <c:pt idx="29">
                  <c:v>7.4166666666666572</c:v>
                </c:pt>
                <c:pt idx="30">
                  <c:v>1.3333333333333428</c:v>
                </c:pt>
                <c:pt idx="31">
                  <c:v>15.25</c:v>
                </c:pt>
                <c:pt idx="32">
                  <c:v>15.249999999999972</c:v>
                </c:pt>
                <c:pt idx="33">
                  <c:v>18</c:v>
                </c:pt>
                <c:pt idx="34">
                  <c:v>7.3333333333333712</c:v>
                </c:pt>
                <c:pt idx="35">
                  <c:v>5.6666666666666288</c:v>
                </c:pt>
                <c:pt idx="36">
                  <c:v>0.5</c:v>
                </c:pt>
                <c:pt idx="37">
                  <c:v>7.6666666666666856</c:v>
                </c:pt>
                <c:pt idx="38">
                  <c:v>16.583333333333314</c:v>
                </c:pt>
                <c:pt idx="39">
                  <c:v>19.333333333333371</c:v>
                </c:pt>
                <c:pt idx="40">
                  <c:v>34.333333333333314</c:v>
                </c:pt>
                <c:pt idx="41">
                  <c:v>4.3333333333333428</c:v>
                </c:pt>
                <c:pt idx="42">
                  <c:v>15.166666666666686</c:v>
                </c:pt>
                <c:pt idx="43">
                  <c:v>12.583333333333343</c:v>
                </c:pt>
                <c:pt idx="44">
                  <c:v>13.583333333333314</c:v>
                </c:pt>
                <c:pt idx="45">
                  <c:v>29</c:v>
                </c:pt>
                <c:pt idx="46">
                  <c:v>12.333333333333314</c:v>
                </c:pt>
                <c:pt idx="47">
                  <c:v>1.75</c:v>
                </c:pt>
                <c:pt idx="48">
                  <c:v>12</c:v>
                </c:pt>
                <c:pt idx="49">
                  <c:v>13.083333333333371</c:v>
                </c:pt>
                <c:pt idx="50">
                  <c:v>8.0833333333333712</c:v>
                </c:pt>
                <c:pt idx="51">
                  <c:v>25.25</c:v>
                </c:pt>
                <c:pt idx="52">
                  <c:v>0.83333333333331439</c:v>
                </c:pt>
                <c:pt idx="53">
                  <c:v>9.4166666666666856</c:v>
                </c:pt>
                <c:pt idx="54">
                  <c:v>10.666666666666629</c:v>
                </c:pt>
                <c:pt idx="55">
                  <c:v>12</c:v>
                </c:pt>
                <c:pt idx="56">
                  <c:v>15.5</c:v>
                </c:pt>
                <c:pt idx="57">
                  <c:v>5.8333333333333712</c:v>
                </c:pt>
                <c:pt idx="58">
                  <c:v>8.8333333333333144</c:v>
                </c:pt>
                <c:pt idx="59">
                  <c:v>5.5</c:v>
                </c:pt>
                <c:pt idx="60">
                  <c:v>15.5</c:v>
                </c:pt>
                <c:pt idx="61">
                  <c:v>21.5</c:v>
                </c:pt>
                <c:pt idx="62">
                  <c:v>25.333333333333314</c:v>
                </c:pt>
                <c:pt idx="63">
                  <c:v>7.75</c:v>
                </c:pt>
                <c:pt idx="64">
                  <c:v>23.083333333333314</c:v>
                </c:pt>
                <c:pt idx="65">
                  <c:v>28.583333333333371</c:v>
                </c:pt>
                <c:pt idx="66">
                  <c:v>7.4166666666666288</c:v>
                </c:pt>
                <c:pt idx="67">
                  <c:v>23.083333333333371</c:v>
                </c:pt>
                <c:pt idx="68">
                  <c:v>22.666666666666629</c:v>
                </c:pt>
                <c:pt idx="69">
                  <c:v>16.583333333333371</c:v>
                </c:pt>
                <c:pt idx="70">
                  <c:v>10.833333333333371</c:v>
                </c:pt>
                <c:pt idx="71">
                  <c:v>21.333333333333258</c:v>
                </c:pt>
                <c:pt idx="72">
                  <c:v>40.916666666666742</c:v>
                </c:pt>
                <c:pt idx="73">
                  <c:v>36.333333333333258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15-4AB3-BAA7-0496B863145A}"/>
            </c:ext>
          </c:extLst>
        </c:ser>
        <c:ser>
          <c:idx val="7"/>
          <c:order val="7"/>
          <c:tx>
            <c:strRef>
              <c:f>Sheet1!$H$2</c:f>
              <c:strCache>
                <c:ptCount val="1"/>
                <c:pt idx="0">
                  <c:v>e^2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Sheet1!$H$3:$H$76</c:f>
              <c:numCache>
                <c:formatCode>General</c:formatCode>
                <c:ptCount val="74"/>
                <c:pt idx="1">
                  <c:v>18.777777777777615</c:v>
                </c:pt>
                <c:pt idx="2">
                  <c:v>327.00694444444377</c:v>
                </c:pt>
                <c:pt idx="3">
                  <c:v>60.0625</c:v>
                </c:pt>
                <c:pt idx="4">
                  <c:v>286.17361111111177</c:v>
                </c:pt>
                <c:pt idx="5">
                  <c:v>275.00694444444383</c:v>
                </c:pt>
                <c:pt idx="6">
                  <c:v>70.840277777778098</c:v>
                </c:pt>
                <c:pt idx="7">
                  <c:v>98.340277777777587</c:v>
                </c:pt>
                <c:pt idx="8">
                  <c:v>16.673611111111189</c:v>
                </c:pt>
                <c:pt idx="9">
                  <c:v>51.361111111111384</c:v>
                </c:pt>
                <c:pt idx="10">
                  <c:v>232.5625</c:v>
                </c:pt>
                <c:pt idx="11">
                  <c:v>128.444444444444</c:v>
                </c:pt>
                <c:pt idx="12">
                  <c:v>136.11111111111089</c:v>
                </c:pt>
                <c:pt idx="13">
                  <c:v>1045.444444444445</c:v>
                </c:pt>
                <c:pt idx="14">
                  <c:v>28.444444444444244</c:v>
                </c:pt>
                <c:pt idx="15">
                  <c:v>12.25</c:v>
                </c:pt>
                <c:pt idx="16">
                  <c:v>121</c:v>
                </c:pt>
                <c:pt idx="17">
                  <c:v>18.0625</c:v>
                </c:pt>
                <c:pt idx="18">
                  <c:v>10.027777777777718</c:v>
                </c:pt>
                <c:pt idx="19">
                  <c:v>0.11111111111111743</c:v>
                </c:pt>
                <c:pt idx="20">
                  <c:v>0.69444444444441289</c:v>
                </c:pt>
                <c:pt idx="21">
                  <c:v>7.111111111111212</c:v>
                </c:pt>
                <c:pt idx="22">
                  <c:v>132.25</c:v>
                </c:pt>
                <c:pt idx="23">
                  <c:v>20.25</c:v>
                </c:pt>
                <c:pt idx="24">
                  <c:v>27.5625</c:v>
                </c:pt>
                <c:pt idx="25">
                  <c:v>160.4444444444442</c:v>
                </c:pt>
                <c:pt idx="26">
                  <c:v>294.69444444444412</c:v>
                </c:pt>
                <c:pt idx="27">
                  <c:v>64</c:v>
                </c:pt>
                <c:pt idx="28">
                  <c:v>1</c:v>
                </c:pt>
                <c:pt idx="29">
                  <c:v>55.006944444444301</c:v>
                </c:pt>
                <c:pt idx="30">
                  <c:v>1.777777777777803</c:v>
                </c:pt>
                <c:pt idx="31">
                  <c:v>232.5625</c:v>
                </c:pt>
                <c:pt idx="32">
                  <c:v>232.56249999999915</c:v>
                </c:pt>
                <c:pt idx="33">
                  <c:v>324</c:v>
                </c:pt>
                <c:pt idx="34">
                  <c:v>53.777777777778333</c:v>
                </c:pt>
                <c:pt idx="35">
                  <c:v>32.111111111110681</c:v>
                </c:pt>
                <c:pt idx="36">
                  <c:v>0.25</c:v>
                </c:pt>
                <c:pt idx="37">
                  <c:v>58.77777777777807</c:v>
                </c:pt>
                <c:pt idx="38">
                  <c:v>275.00694444444383</c:v>
                </c:pt>
                <c:pt idx="39">
                  <c:v>373.77777777777925</c:v>
                </c:pt>
                <c:pt idx="40">
                  <c:v>1178.7777777777765</c:v>
                </c:pt>
                <c:pt idx="41">
                  <c:v>18.77777777777786</c:v>
                </c:pt>
                <c:pt idx="42">
                  <c:v>230.02777777777834</c:v>
                </c:pt>
                <c:pt idx="43">
                  <c:v>158.34027777777803</c:v>
                </c:pt>
                <c:pt idx="44">
                  <c:v>184.50694444444392</c:v>
                </c:pt>
                <c:pt idx="45">
                  <c:v>841</c:v>
                </c:pt>
                <c:pt idx="46">
                  <c:v>152.11111111111063</c:v>
                </c:pt>
                <c:pt idx="47">
                  <c:v>3.0625</c:v>
                </c:pt>
                <c:pt idx="48">
                  <c:v>144</c:v>
                </c:pt>
                <c:pt idx="49">
                  <c:v>171.17361111111211</c:v>
                </c:pt>
                <c:pt idx="50">
                  <c:v>65.340277777778397</c:v>
                </c:pt>
                <c:pt idx="51">
                  <c:v>637.5625</c:v>
                </c:pt>
                <c:pt idx="52">
                  <c:v>0.69444444444441289</c:v>
                </c:pt>
                <c:pt idx="53">
                  <c:v>88.67361111111147</c:v>
                </c:pt>
                <c:pt idx="54">
                  <c:v>113.77777777777698</c:v>
                </c:pt>
                <c:pt idx="55">
                  <c:v>144</c:v>
                </c:pt>
                <c:pt idx="56">
                  <c:v>240.25</c:v>
                </c:pt>
                <c:pt idx="57">
                  <c:v>34.027777777778219</c:v>
                </c:pt>
                <c:pt idx="58">
                  <c:v>78.027777777777445</c:v>
                </c:pt>
                <c:pt idx="59">
                  <c:v>30.25</c:v>
                </c:pt>
                <c:pt idx="60">
                  <c:v>240.25</c:v>
                </c:pt>
                <c:pt idx="61">
                  <c:v>462.25</c:v>
                </c:pt>
                <c:pt idx="62">
                  <c:v>641.77777777777681</c:v>
                </c:pt>
                <c:pt idx="63">
                  <c:v>60.0625</c:v>
                </c:pt>
                <c:pt idx="64">
                  <c:v>532.84027777777692</c:v>
                </c:pt>
                <c:pt idx="65">
                  <c:v>817.00694444444662</c:v>
                </c:pt>
                <c:pt idx="66">
                  <c:v>55.006944444443882</c:v>
                </c:pt>
                <c:pt idx="67">
                  <c:v>532.84027777777953</c:v>
                </c:pt>
                <c:pt idx="68">
                  <c:v>513.77777777777601</c:v>
                </c:pt>
                <c:pt idx="69">
                  <c:v>275.00694444444571</c:v>
                </c:pt>
                <c:pt idx="70">
                  <c:v>117.36111111111194</c:v>
                </c:pt>
                <c:pt idx="71">
                  <c:v>455.1111111111079</c:v>
                </c:pt>
                <c:pt idx="72">
                  <c:v>1674.1736111111172</c:v>
                </c:pt>
                <c:pt idx="73">
                  <c:v>1320.1111111111056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15-4AB3-BAA7-0496B863145A}"/>
            </c:ext>
          </c:extLst>
        </c:ser>
        <c:ser>
          <c:idx val="8"/>
          <c:order val="8"/>
          <c:tx>
            <c:strRef>
              <c:f>Sheet1!$I$2</c:f>
              <c:strCache>
                <c:ptCount val="1"/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Sheet1!$I$3:$I$76</c:f>
              <c:numCache>
                <c:formatCode>General</c:formatCode>
                <c:ptCount val="74"/>
                <c:pt idx="1">
                  <c:v>2.7674294837679494E-2</c:v>
                </c:pt>
                <c:pt idx="2">
                  <c:v>0.10353053435114494</c:v>
                </c:pt>
                <c:pt idx="3">
                  <c:v>4.6430354468297554E-2</c:v>
                </c:pt>
                <c:pt idx="4">
                  <c:v>9.202175883952865E-2</c:v>
                </c:pt>
                <c:pt idx="5">
                  <c:v>8.2744282744282652E-2</c:v>
                </c:pt>
                <c:pt idx="6">
                  <c:v>4.0303272146847653E-2</c:v>
                </c:pt>
                <c:pt idx="7">
                  <c:v>4.5333333333333288E-2</c:v>
                </c:pt>
                <c:pt idx="8">
                  <c:v>1.8324607329842972E-2</c:v>
                </c:pt>
                <c:pt idx="9">
                  <c:v>3.3230293663060365E-2</c:v>
                </c:pt>
                <c:pt idx="10">
                  <c:v>7.6091476091476096E-2</c:v>
                </c:pt>
                <c:pt idx="11">
                  <c:v>5.9938298810048377E-2</c:v>
                </c:pt>
                <c:pt idx="12">
                  <c:v>5.8115400581153956E-2</c:v>
                </c:pt>
                <c:pt idx="13">
                  <c:v>0.13872005720414735</c:v>
                </c:pt>
                <c:pt idx="14">
                  <c:v>2.2369800768961823E-2</c:v>
                </c:pt>
                <c:pt idx="15">
                  <c:v>1.4467791939373063E-2</c:v>
                </c:pt>
                <c:pt idx="16">
                  <c:v>4.3492586490939046E-2</c:v>
                </c:pt>
                <c:pt idx="17">
                  <c:v>1.7091152815013406E-2</c:v>
                </c:pt>
                <c:pt idx="18">
                  <c:v>1.2898845892735874E-2</c:v>
                </c:pt>
                <c:pt idx="19">
                  <c:v>1.3596193065941924E-3</c:v>
                </c:pt>
                <c:pt idx="20">
                  <c:v>3.4106412005456251E-3</c:v>
                </c:pt>
                <c:pt idx="21">
                  <c:v>1.1034482758620769E-2</c:v>
                </c:pt>
                <c:pt idx="22">
                  <c:v>4.5424621461487825E-2</c:v>
                </c:pt>
                <c:pt idx="23">
                  <c:v>1.8096514745308313E-2</c:v>
                </c:pt>
                <c:pt idx="24">
                  <c:v>2.0676074827699377E-2</c:v>
                </c:pt>
                <c:pt idx="25">
                  <c:v>4.7514848390121878E-2</c:v>
                </c:pt>
                <c:pt idx="26">
                  <c:v>6.8827263615101872E-2</c:v>
                </c:pt>
                <c:pt idx="27">
                  <c:v>3.3137728684846393E-2</c:v>
                </c:pt>
                <c:pt idx="28">
                  <c:v>4.1594454072790294E-3</c:v>
                </c:pt>
                <c:pt idx="29">
                  <c:v>3.1831187410586513E-2</c:v>
                </c:pt>
                <c:pt idx="30">
                  <c:v>5.6899004267425722E-3</c:v>
                </c:pt>
                <c:pt idx="31">
                  <c:v>6.1101836393989979E-2</c:v>
                </c:pt>
                <c:pt idx="32">
                  <c:v>5.758338577721827E-2</c:v>
                </c:pt>
                <c:pt idx="33">
                  <c:v>6.3641720683559222E-2</c:v>
                </c:pt>
                <c:pt idx="34">
                  <c:v>2.5272831705916269E-2</c:v>
                </c:pt>
                <c:pt idx="35">
                  <c:v>1.9154929577464661E-2</c:v>
                </c:pt>
                <c:pt idx="36">
                  <c:v>1.6930022573363433E-3</c:v>
                </c:pt>
                <c:pt idx="37">
                  <c:v>2.5302530253025365E-2</c:v>
                </c:pt>
                <c:pt idx="38">
                  <c:v>5.7899330811754364E-2</c:v>
                </c:pt>
                <c:pt idx="39">
                  <c:v>7.2386895475819182E-2</c:v>
                </c:pt>
                <c:pt idx="40">
                  <c:v>0.14751163623344066</c:v>
                </c:pt>
                <c:pt idx="41">
                  <c:v>1.8971178402043092E-2</c:v>
                </c:pt>
                <c:pt idx="42">
                  <c:v>6.2264796442011709E-2</c:v>
                </c:pt>
                <c:pt idx="43">
                  <c:v>4.9121665582303221E-2</c:v>
                </c:pt>
                <c:pt idx="44">
                  <c:v>5.0355267222737032E-2</c:v>
                </c:pt>
                <c:pt idx="45">
                  <c:v>9.7071129707112971E-2</c:v>
                </c:pt>
                <c:pt idx="46">
                  <c:v>3.9646396999732061E-2</c:v>
                </c:pt>
                <c:pt idx="47">
                  <c:v>5.5940330314331382E-3</c:v>
                </c:pt>
                <c:pt idx="48">
                  <c:v>3.6942021549512573E-2</c:v>
                </c:pt>
                <c:pt idx="49">
                  <c:v>3.8717632552404548E-2</c:v>
                </c:pt>
                <c:pt idx="50">
                  <c:v>2.4507326932794456E-2</c:v>
                </c:pt>
                <c:pt idx="51">
                  <c:v>7.1110068059141052E-2</c:v>
                </c:pt>
                <c:pt idx="52">
                  <c:v>2.3523876734885376E-3</c:v>
                </c:pt>
                <c:pt idx="53">
                  <c:v>2.5893675527039466E-2</c:v>
                </c:pt>
                <c:pt idx="54">
                  <c:v>2.8495102404274164E-2</c:v>
                </c:pt>
                <c:pt idx="55">
                  <c:v>3.1061259706643661E-2</c:v>
                </c:pt>
                <c:pt idx="56">
                  <c:v>3.8573206138531733E-2</c:v>
                </c:pt>
                <c:pt idx="57">
                  <c:v>1.4309076042518489E-2</c:v>
                </c:pt>
                <c:pt idx="58">
                  <c:v>2.1208483393357298E-2</c:v>
                </c:pt>
                <c:pt idx="59">
                  <c:v>1.3033175355450236E-2</c:v>
                </c:pt>
                <c:pt idx="60">
                  <c:v>3.5428571428571427E-2</c:v>
                </c:pt>
                <c:pt idx="61">
                  <c:v>4.6840958605664486E-2</c:v>
                </c:pt>
                <c:pt idx="62">
                  <c:v>5.2305574673090119E-2</c:v>
                </c:pt>
                <c:pt idx="63">
                  <c:v>1.5749364944961899E-2</c:v>
                </c:pt>
                <c:pt idx="64">
                  <c:v>4.4807505661598156E-2</c:v>
                </c:pt>
                <c:pt idx="65">
                  <c:v>5.2567049808429189E-2</c:v>
                </c:pt>
                <c:pt idx="66">
                  <c:v>1.3456304807982999E-2</c:v>
                </c:pt>
                <c:pt idx="67">
                  <c:v>4.019735887389355E-2</c:v>
                </c:pt>
                <c:pt idx="68">
                  <c:v>3.7972916375820127E-2</c:v>
                </c:pt>
                <c:pt idx="69">
                  <c:v>2.7030698179842497E-2</c:v>
                </c:pt>
                <c:pt idx="70">
                  <c:v>1.7351841964762475E-2</c:v>
                </c:pt>
                <c:pt idx="71">
                  <c:v>3.3040784718636952E-2</c:v>
                </c:pt>
                <c:pt idx="72">
                  <c:v>5.9594610996480266E-2</c:v>
                </c:pt>
                <c:pt idx="73">
                  <c:v>5.0259365994236208E-2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15-4AB3-BAA7-0496B863145A}"/>
            </c:ext>
          </c:extLst>
        </c:ser>
        <c:ser>
          <c:idx val="9"/>
          <c:order val="9"/>
          <c:tx>
            <c:strRef>
              <c:f>Sheet1!$J$2</c:f>
              <c:strCache>
                <c:ptCount val="1"/>
                <c:pt idx="0">
                  <c:v>simple average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Sheet1!$J$3:$J$76</c:f>
              <c:numCache>
                <c:formatCode>General</c:formatCode>
                <c:ptCount val="74"/>
                <c:pt idx="1">
                  <c:v>160.91666666666666</c:v>
                </c:pt>
                <c:pt idx="2">
                  <c:v>158.75</c:v>
                </c:pt>
                <c:pt idx="3">
                  <c:v>164.05555555555554</c:v>
                </c:pt>
                <c:pt idx="4">
                  <c:v>164.77083333333331</c:v>
                </c:pt>
                <c:pt idx="5">
                  <c:v>168.58333333333331</c:v>
                </c:pt>
                <c:pt idx="6">
                  <c:v>173.88888888888889</c:v>
                </c:pt>
                <c:pt idx="7">
                  <c:v>178.88095238095235</c:v>
                </c:pt>
                <c:pt idx="8">
                  <c:v>183.86458333333331</c:v>
                </c:pt>
                <c:pt idx="9">
                  <c:v>188.19444444444443</c:v>
                </c:pt>
                <c:pt idx="10">
                  <c:v>190.94166666666666</c:v>
                </c:pt>
                <c:pt idx="11">
                  <c:v>191.80303030303028</c:v>
                </c:pt>
                <c:pt idx="12">
                  <c:v>191.57638888888889</c:v>
                </c:pt>
                <c:pt idx="13">
                  <c:v>192.28205128205127</c:v>
                </c:pt>
                <c:pt idx="14">
                  <c:v>195.19642857142858</c:v>
                </c:pt>
                <c:pt idx="15">
                  <c:v>198.07777777777775</c:v>
                </c:pt>
                <c:pt idx="16">
                  <c:v>200.81770833333331</c:v>
                </c:pt>
                <c:pt idx="17">
                  <c:v>203.88235294117644</c:v>
                </c:pt>
                <c:pt idx="18">
                  <c:v>206.37037037037032</c:v>
                </c:pt>
                <c:pt idx="19">
                  <c:v>208.42982456140348</c:v>
                </c:pt>
                <c:pt idx="20">
                  <c:v>210.26666666666665</c:v>
                </c:pt>
                <c:pt idx="21">
                  <c:v>211.88888888888886</c:v>
                </c:pt>
                <c:pt idx="22">
                  <c:v>213.24242424242422</c:v>
                </c:pt>
                <c:pt idx="23">
                  <c:v>214.97826086956522</c:v>
                </c:pt>
                <c:pt idx="24">
                  <c:v>216.38194444444446</c:v>
                </c:pt>
                <c:pt idx="25">
                  <c:v>217.88333333333335</c:v>
                </c:pt>
                <c:pt idx="26">
                  <c:v>219.75641025641028</c:v>
                </c:pt>
                <c:pt idx="27">
                  <c:v>220.85493827160496</c:v>
                </c:pt>
                <c:pt idx="28">
                  <c:v>221.58928571428575</c:v>
                </c:pt>
                <c:pt idx="29">
                  <c:v>222.23850574712648</c:v>
                </c:pt>
                <c:pt idx="30">
                  <c:v>222.59722222222226</c:v>
                </c:pt>
                <c:pt idx="31">
                  <c:v>222.97580645161293</c:v>
                </c:pt>
                <c:pt idx="32">
                  <c:v>223.80729166666669</c:v>
                </c:pt>
                <c:pt idx="33">
                  <c:v>225.05050505050505</c:v>
                </c:pt>
                <c:pt idx="34">
                  <c:v>226.75</c:v>
                </c:pt>
                <c:pt idx="35">
                  <c:v>228.56190476190477</c:v>
                </c:pt>
                <c:pt idx="36">
                  <c:v>230.43055555555554</c:v>
                </c:pt>
                <c:pt idx="37">
                  <c:v>232.1846846846847</c:v>
                </c:pt>
                <c:pt idx="38">
                  <c:v>234.0482456140351</c:v>
                </c:pt>
                <c:pt idx="39">
                  <c:v>235.39102564102564</c:v>
                </c:pt>
                <c:pt idx="40">
                  <c:v>236.18333333333334</c:v>
                </c:pt>
                <c:pt idx="41">
                  <c:v>236.09959349593498</c:v>
                </c:pt>
                <c:pt idx="42">
                  <c:v>235.91666666666666</c:v>
                </c:pt>
                <c:pt idx="43">
                  <c:v>236.09496124031008</c:v>
                </c:pt>
                <c:pt idx="44">
                  <c:v>236.55113636363637</c:v>
                </c:pt>
                <c:pt idx="45">
                  <c:v>237.28888888888889</c:v>
                </c:pt>
                <c:pt idx="46">
                  <c:v>238.625</c:v>
                </c:pt>
                <c:pt idx="47">
                  <c:v>240.16666666666669</c:v>
                </c:pt>
                <c:pt idx="48">
                  <c:v>241.68055555555557</c:v>
                </c:pt>
                <c:pt idx="49">
                  <c:v>243.37755102040819</c:v>
                </c:pt>
                <c:pt idx="50">
                  <c:v>245.26833333333335</c:v>
                </c:pt>
                <c:pt idx="51">
                  <c:v>246.92647058823533</c:v>
                </c:pt>
                <c:pt idx="52">
                  <c:v>249.00641025641031</c:v>
                </c:pt>
                <c:pt idx="53">
                  <c:v>250.99213836477992</c:v>
                </c:pt>
                <c:pt idx="54">
                  <c:v>253.07870370370372</c:v>
                </c:pt>
                <c:pt idx="55">
                  <c:v>255.28333333333339</c:v>
                </c:pt>
                <c:pt idx="56">
                  <c:v>257.62351190476198</c:v>
                </c:pt>
                <c:pt idx="57">
                  <c:v>260.15350877192986</c:v>
                </c:pt>
                <c:pt idx="58">
                  <c:v>262.69683908045982</c:v>
                </c:pt>
                <c:pt idx="59">
                  <c:v>265.30367231638422</c:v>
                </c:pt>
                <c:pt idx="60">
                  <c:v>267.91527777777782</c:v>
                </c:pt>
                <c:pt idx="61">
                  <c:v>270.69535519125691</c:v>
                </c:pt>
                <c:pt idx="62">
                  <c:v>273.7325268817205</c:v>
                </c:pt>
                <c:pt idx="63">
                  <c:v>277.07539682539687</c:v>
                </c:pt>
                <c:pt idx="64">
                  <c:v>280.43489583333337</c:v>
                </c:pt>
                <c:pt idx="65">
                  <c:v>284.04615384615391</c:v>
                </c:pt>
                <c:pt idx="66">
                  <c:v>287.98106060606068</c:v>
                </c:pt>
                <c:pt idx="67">
                  <c:v>291.90920398009956</c:v>
                </c:pt>
                <c:pt idx="68">
                  <c:v>296.06127450980398</c:v>
                </c:pt>
                <c:pt idx="69">
                  <c:v>300.42149758454116</c:v>
                </c:pt>
                <c:pt idx="70">
                  <c:v>304.89404761904768</c:v>
                </c:pt>
                <c:pt idx="71">
                  <c:v>309.39319248826297</c:v>
                </c:pt>
                <c:pt idx="72">
                  <c:v>314.0636574074075</c:v>
                </c:pt>
                <c:pt idx="73">
                  <c:v>319.16666666666674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15-4AB3-BAA7-0496B863145A}"/>
            </c:ext>
          </c:extLst>
        </c:ser>
        <c:ser>
          <c:idx val="10"/>
          <c:order val="10"/>
          <c:tx>
            <c:strRef>
              <c:f>Sheet1!$K$2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Sheet1!$K$3:$K$76</c:f>
              <c:numCache>
                <c:formatCode>General</c:formatCode>
                <c:ptCount val="74"/>
                <c:pt idx="1">
                  <c:v>0</c:v>
                </c:pt>
                <c:pt idx="2">
                  <c:v>-2.1666666666666572</c:v>
                </c:pt>
                <c:pt idx="3">
                  <c:v>10.611111111111114</c:v>
                </c:pt>
                <c:pt idx="4">
                  <c:v>2.1458333333333428</c:v>
                </c:pt>
                <c:pt idx="5">
                  <c:v>15.250000000000028</c:v>
                </c:pt>
                <c:pt idx="6">
                  <c:v>26.527777777777771</c:v>
                </c:pt>
                <c:pt idx="7">
                  <c:v>29.952380952380992</c:v>
                </c:pt>
                <c:pt idx="8">
                  <c:v>34.885416666666686</c:v>
                </c:pt>
                <c:pt idx="9">
                  <c:v>34.638888888888914</c:v>
                </c:pt>
                <c:pt idx="10">
                  <c:v>24.724999999999994</c:v>
                </c:pt>
                <c:pt idx="11">
                  <c:v>8.613636363636374</c:v>
                </c:pt>
                <c:pt idx="12">
                  <c:v>-2.4930555555555429</c:v>
                </c:pt>
                <c:pt idx="13">
                  <c:v>8.4679487179487296</c:v>
                </c:pt>
                <c:pt idx="14">
                  <c:v>37.886904761904759</c:v>
                </c:pt>
                <c:pt idx="15">
                  <c:v>40.338888888888903</c:v>
                </c:pt>
                <c:pt idx="16">
                  <c:v>41.098958333333343</c:v>
                </c:pt>
                <c:pt idx="17">
                  <c:v>49.034313725490222</c:v>
                </c:pt>
                <c:pt idx="18">
                  <c:v>42.296296296296333</c:v>
                </c:pt>
                <c:pt idx="19">
                  <c:v>37.070175438596522</c:v>
                </c:pt>
                <c:pt idx="20">
                  <c:v>34.900000000000006</c:v>
                </c:pt>
                <c:pt idx="21">
                  <c:v>32.444444444444485</c:v>
                </c:pt>
                <c:pt idx="22">
                  <c:v>28.424242424242436</c:v>
                </c:pt>
                <c:pt idx="23">
                  <c:v>38.188405797101439</c:v>
                </c:pt>
                <c:pt idx="24">
                  <c:v>32.2847222222222</c:v>
                </c:pt>
                <c:pt idx="25">
                  <c:v>36.033333333333303</c:v>
                </c:pt>
                <c:pt idx="26">
                  <c:v>46.826923076923038</c:v>
                </c:pt>
                <c:pt idx="27">
                  <c:v>28.561728395061692</c:v>
                </c:pt>
                <c:pt idx="28">
                  <c:v>19.827380952380906</c:v>
                </c:pt>
                <c:pt idx="29">
                  <c:v>18.178160919540176</c:v>
                </c:pt>
                <c:pt idx="30">
                  <c:v>10.402777777777743</c:v>
                </c:pt>
                <c:pt idx="31">
                  <c:v>11.357526881720418</c:v>
                </c:pt>
                <c:pt idx="32">
                  <c:v>25.776041666666657</c:v>
                </c:pt>
                <c:pt idx="33">
                  <c:v>39.782828282828262</c:v>
                </c:pt>
                <c:pt idx="34">
                  <c:v>56.083333333333314</c:v>
                </c:pt>
                <c:pt idx="35">
                  <c:v>61.604761904761915</c:v>
                </c:pt>
                <c:pt idx="36">
                  <c:v>65.402777777777771</c:v>
                </c:pt>
                <c:pt idx="37">
                  <c:v>63.148648648648617</c:v>
                </c:pt>
                <c:pt idx="38">
                  <c:v>68.951754385964904</c:v>
                </c:pt>
                <c:pt idx="39">
                  <c:v>51.02564102564105</c:v>
                </c:pt>
                <c:pt idx="40">
                  <c:v>30.899999999999977</c:v>
                </c:pt>
                <c:pt idx="41">
                  <c:v>-3.3495934959349825</c:v>
                </c:pt>
                <c:pt idx="42">
                  <c:v>-7.5</c:v>
                </c:pt>
                <c:pt idx="43">
                  <c:v>7.4883720930232585</c:v>
                </c:pt>
                <c:pt idx="44">
                  <c:v>19.615530303030312</c:v>
                </c:pt>
                <c:pt idx="45">
                  <c:v>32.461111111111109</c:v>
                </c:pt>
                <c:pt idx="46">
                  <c:v>60.125</c:v>
                </c:pt>
                <c:pt idx="47">
                  <c:v>70.916666666666629</c:v>
                </c:pt>
                <c:pt idx="48">
                  <c:v>71.152777777777743</c:v>
                </c:pt>
                <c:pt idx="49">
                  <c:v>81.455782312925123</c:v>
                </c:pt>
                <c:pt idx="50">
                  <c:v>92.648333333333341</c:v>
                </c:pt>
                <c:pt idx="51">
                  <c:v>82.906862745097982</c:v>
                </c:pt>
                <c:pt idx="52">
                  <c:v>106.07692307692301</c:v>
                </c:pt>
                <c:pt idx="53">
                  <c:v>103.25786163522008</c:v>
                </c:pt>
                <c:pt idx="54">
                  <c:v>110.58796296296296</c:v>
                </c:pt>
                <c:pt idx="55">
                  <c:v>119.04999999999993</c:v>
                </c:pt>
                <c:pt idx="56">
                  <c:v>128.70982142857133</c:v>
                </c:pt>
                <c:pt idx="57">
                  <c:v>141.67982456140345</c:v>
                </c:pt>
                <c:pt idx="58">
                  <c:v>144.96982758620686</c:v>
                </c:pt>
                <c:pt idx="59">
                  <c:v>151.19632768361578</c:v>
                </c:pt>
                <c:pt idx="60">
                  <c:v>154.08472222222218</c:v>
                </c:pt>
                <c:pt idx="61">
                  <c:v>166.80464480874309</c:v>
                </c:pt>
                <c:pt idx="62">
                  <c:v>185.2674731182795</c:v>
                </c:pt>
                <c:pt idx="63">
                  <c:v>207.25793650793645</c:v>
                </c:pt>
                <c:pt idx="64">
                  <c:v>211.64843749999994</c:v>
                </c:pt>
                <c:pt idx="65">
                  <c:v>231.12051282051272</c:v>
                </c:pt>
                <c:pt idx="66">
                  <c:v>255.76893939393932</c:v>
                </c:pt>
                <c:pt idx="67">
                  <c:v>259.25746268656707</c:v>
                </c:pt>
                <c:pt idx="68">
                  <c:v>278.18872549019602</c:v>
                </c:pt>
                <c:pt idx="69">
                  <c:v>296.49516908212547</c:v>
                </c:pt>
                <c:pt idx="70">
                  <c:v>308.60595238095232</c:v>
                </c:pt>
                <c:pt idx="71">
                  <c:v>314.9401408450704</c:v>
                </c:pt>
                <c:pt idx="72">
                  <c:v>331.60300925925912</c:v>
                </c:pt>
                <c:pt idx="73">
                  <c:v>367.41666666666663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15-4AB3-BAA7-0496B863145A}"/>
            </c:ext>
          </c:extLst>
        </c:ser>
        <c:ser>
          <c:idx val="11"/>
          <c:order val="11"/>
          <c:tx>
            <c:strRef>
              <c:f>Sheet1!$L$2</c:f>
              <c:strCache>
                <c:ptCount val="1"/>
                <c:pt idx="0">
                  <c:v>abs e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Sheet1!$L$3:$L$76</c:f>
              <c:numCache>
                <c:formatCode>General</c:formatCode>
                <c:ptCount val="74"/>
                <c:pt idx="1">
                  <c:v>0</c:v>
                </c:pt>
                <c:pt idx="2">
                  <c:v>2.1666666666666572</c:v>
                </c:pt>
                <c:pt idx="3">
                  <c:v>10.611111111111114</c:v>
                </c:pt>
                <c:pt idx="4">
                  <c:v>2.1458333333333428</c:v>
                </c:pt>
                <c:pt idx="5">
                  <c:v>15.250000000000028</c:v>
                </c:pt>
                <c:pt idx="6">
                  <c:v>26.527777777777771</c:v>
                </c:pt>
                <c:pt idx="7">
                  <c:v>29.952380952380992</c:v>
                </c:pt>
                <c:pt idx="8">
                  <c:v>34.885416666666686</c:v>
                </c:pt>
                <c:pt idx="9">
                  <c:v>34.638888888888914</c:v>
                </c:pt>
                <c:pt idx="10">
                  <c:v>24.724999999999994</c:v>
                </c:pt>
                <c:pt idx="11">
                  <c:v>8.613636363636374</c:v>
                </c:pt>
                <c:pt idx="12">
                  <c:v>2.4930555555555429</c:v>
                </c:pt>
                <c:pt idx="13">
                  <c:v>8.4679487179487296</c:v>
                </c:pt>
                <c:pt idx="14">
                  <c:v>37.886904761904759</c:v>
                </c:pt>
                <c:pt idx="15">
                  <c:v>40.338888888888903</c:v>
                </c:pt>
                <c:pt idx="16">
                  <c:v>41.098958333333343</c:v>
                </c:pt>
                <c:pt idx="17">
                  <c:v>49.034313725490222</c:v>
                </c:pt>
                <c:pt idx="18">
                  <c:v>42.296296296296333</c:v>
                </c:pt>
                <c:pt idx="19">
                  <c:v>37.070175438596522</c:v>
                </c:pt>
                <c:pt idx="20">
                  <c:v>34.900000000000006</c:v>
                </c:pt>
                <c:pt idx="21">
                  <c:v>32.444444444444485</c:v>
                </c:pt>
                <c:pt idx="22">
                  <c:v>28.424242424242436</c:v>
                </c:pt>
                <c:pt idx="23">
                  <c:v>38.188405797101439</c:v>
                </c:pt>
                <c:pt idx="24">
                  <c:v>32.2847222222222</c:v>
                </c:pt>
                <c:pt idx="25">
                  <c:v>36.033333333333303</c:v>
                </c:pt>
                <c:pt idx="26">
                  <c:v>46.826923076923038</c:v>
                </c:pt>
                <c:pt idx="27">
                  <c:v>28.561728395061692</c:v>
                </c:pt>
                <c:pt idx="28">
                  <c:v>19.827380952380906</c:v>
                </c:pt>
                <c:pt idx="29">
                  <c:v>18.178160919540176</c:v>
                </c:pt>
                <c:pt idx="30">
                  <c:v>10.402777777777743</c:v>
                </c:pt>
                <c:pt idx="31">
                  <c:v>11.357526881720418</c:v>
                </c:pt>
                <c:pt idx="32">
                  <c:v>25.776041666666657</c:v>
                </c:pt>
                <c:pt idx="33">
                  <c:v>39.782828282828262</c:v>
                </c:pt>
                <c:pt idx="34">
                  <c:v>56.083333333333314</c:v>
                </c:pt>
                <c:pt idx="35">
                  <c:v>61.604761904761915</c:v>
                </c:pt>
                <c:pt idx="36">
                  <c:v>65.402777777777771</c:v>
                </c:pt>
                <c:pt idx="37">
                  <c:v>63.148648648648617</c:v>
                </c:pt>
                <c:pt idx="38">
                  <c:v>68.951754385964904</c:v>
                </c:pt>
                <c:pt idx="39">
                  <c:v>51.02564102564105</c:v>
                </c:pt>
                <c:pt idx="40">
                  <c:v>30.899999999999977</c:v>
                </c:pt>
                <c:pt idx="41">
                  <c:v>3.3495934959349825</c:v>
                </c:pt>
                <c:pt idx="42">
                  <c:v>7.5</c:v>
                </c:pt>
                <c:pt idx="43">
                  <c:v>7.4883720930232585</c:v>
                </c:pt>
                <c:pt idx="44">
                  <c:v>19.615530303030312</c:v>
                </c:pt>
                <c:pt idx="45">
                  <c:v>32.461111111111109</c:v>
                </c:pt>
                <c:pt idx="46">
                  <c:v>60.125</c:v>
                </c:pt>
                <c:pt idx="47">
                  <c:v>70.916666666666629</c:v>
                </c:pt>
                <c:pt idx="48">
                  <c:v>71.152777777777743</c:v>
                </c:pt>
                <c:pt idx="49">
                  <c:v>81.455782312925123</c:v>
                </c:pt>
                <c:pt idx="50">
                  <c:v>92.648333333333341</c:v>
                </c:pt>
                <c:pt idx="51">
                  <c:v>82.906862745097982</c:v>
                </c:pt>
                <c:pt idx="52">
                  <c:v>106.07692307692301</c:v>
                </c:pt>
                <c:pt idx="53">
                  <c:v>103.25786163522008</c:v>
                </c:pt>
                <c:pt idx="54">
                  <c:v>110.58796296296296</c:v>
                </c:pt>
                <c:pt idx="55">
                  <c:v>119.04999999999993</c:v>
                </c:pt>
                <c:pt idx="56">
                  <c:v>128.70982142857133</c:v>
                </c:pt>
                <c:pt idx="57">
                  <c:v>141.67982456140345</c:v>
                </c:pt>
                <c:pt idx="58">
                  <c:v>144.96982758620686</c:v>
                </c:pt>
                <c:pt idx="59">
                  <c:v>151.19632768361578</c:v>
                </c:pt>
                <c:pt idx="60">
                  <c:v>154.08472222222218</c:v>
                </c:pt>
                <c:pt idx="61">
                  <c:v>166.80464480874309</c:v>
                </c:pt>
                <c:pt idx="62">
                  <c:v>185.2674731182795</c:v>
                </c:pt>
                <c:pt idx="63">
                  <c:v>207.25793650793645</c:v>
                </c:pt>
                <c:pt idx="64">
                  <c:v>211.64843749999994</c:v>
                </c:pt>
                <c:pt idx="65">
                  <c:v>231.12051282051272</c:v>
                </c:pt>
                <c:pt idx="66">
                  <c:v>255.76893939393932</c:v>
                </c:pt>
                <c:pt idx="67">
                  <c:v>259.25746268656707</c:v>
                </c:pt>
                <c:pt idx="68">
                  <c:v>278.18872549019602</c:v>
                </c:pt>
                <c:pt idx="69">
                  <c:v>296.49516908212547</c:v>
                </c:pt>
                <c:pt idx="70">
                  <c:v>308.60595238095232</c:v>
                </c:pt>
                <c:pt idx="71">
                  <c:v>314.9401408450704</c:v>
                </c:pt>
                <c:pt idx="72">
                  <c:v>331.60300925925912</c:v>
                </c:pt>
                <c:pt idx="73">
                  <c:v>367.41666666666663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15-4AB3-BAA7-0496B863145A}"/>
            </c:ext>
          </c:extLst>
        </c:ser>
        <c:ser>
          <c:idx val="12"/>
          <c:order val="12"/>
          <c:tx>
            <c:strRef>
              <c:f>Sheet1!$M$2</c:f>
              <c:strCache>
                <c:ptCount val="1"/>
                <c:pt idx="0">
                  <c:v>e^2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Sheet1!$M$3:$M$76</c:f>
              <c:numCache>
                <c:formatCode>General</c:formatCode>
                <c:ptCount val="74"/>
                <c:pt idx="1">
                  <c:v>0</c:v>
                </c:pt>
                <c:pt idx="2">
                  <c:v>4.6944444444444038</c:v>
                </c:pt>
                <c:pt idx="3">
                  <c:v>112.59567901234574</c:v>
                </c:pt>
                <c:pt idx="4">
                  <c:v>4.6046006944444855</c:v>
                </c:pt>
                <c:pt idx="5">
                  <c:v>232.56250000000085</c:v>
                </c:pt>
                <c:pt idx="6">
                  <c:v>703.72299382716017</c:v>
                </c:pt>
                <c:pt idx="7">
                  <c:v>897.14512471655564</c:v>
                </c:pt>
                <c:pt idx="8">
                  <c:v>1216.9922960069457</c:v>
                </c:pt>
                <c:pt idx="9">
                  <c:v>1199.8526234567919</c:v>
                </c:pt>
                <c:pt idx="10">
                  <c:v>611.32562499999972</c:v>
                </c:pt>
                <c:pt idx="11">
                  <c:v>74.194731404958858</c:v>
                </c:pt>
                <c:pt idx="12">
                  <c:v>6.2153260030863571</c:v>
                </c:pt>
                <c:pt idx="13">
                  <c:v>71.706155489809532</c:v>
                </c:pt>
                <c:pt idx="14">
                  <c:v>1435.4175524376415</c:v>
                </c:pt>
                <c:pt idx="15">
                  <c:v>1627.2259567901247</c:v>
                </c:pt>
                <c:pt idx="16">
                  <c:v>1689.1243760850703</c:v>
                </c:pt>
                <c:pt idx="17">
                  <c:v>2404.3639225297989</c:v>
                </c:pt>
                <c:pt idx="18">
                  <c:v>1788.976680384091</c:v>
                </c:pt>
                <c:pt idx="19">
                  <c:v>1374.1979070483249</c:v>
                </c:pt>
                <c:pt idx="20">
                  <c:v>1218.0100000000004</c:v>
                </c:pt>
                <c:pt idx="21">
                  <c:v>1052.6419753086445</c:v>
                </c:pt>
                <c:pt idx="22">
                  <c:v>807.93755739210349</c:v>
                </c:pt>
                <c:pt idx="23">
                  <c:v>1458.3543373240907</c:v>
                </c:pt>
                <c:pt idx="24">
                  <c:v>1042.3032889660481</c:v>
                </c:pt>
                <c:pt idx="25">
                  <c:v>1298.401111111109</c:v>
                </c:pt>
                <c:pt idx="26">
                  <c:v>2192.7607248520671</c:v>
                </c:pt>
                <c:pt idx="27">
                  <c:v>815.77232891327333</c:v>
                </c:pt>
                <c:pt idx="28">
                  <c:v>393.12503543083716</c:v>
                </c:pt>
                <c:pt idx="29">
                  <c:v>330.44553441669774</c:v>
                </c:pt>
                <c:pt idx="30">
                  <c:v>108.21778549382644</c:v>
                </c:pt>
                <c:pt idx="31">
                  <c:v>128.99341686900192</c:v>
                </c:pt>
                <c:pt idx="32">
                  <c:v>664.40432400173563</c:v>
                </c:pt>
                <c:pt idx="33">
                  <c:v>1582.6734261810004</c:v>
                </c:pt>
                <c:pt idx="34">
                  <c:v>3145.3402777777756</c:v>
                </c:pt>
                <c:pt idx="35">
                  <c:v>3795.1466893424049</c:v>
                </c:pt>
                <c:pt idx="36">
                  <c:v>4277.523341049382</c:v>
                </c:pt>
                <c:pt idx="37">
                  <c:v>3987.7518261504706</c:v>
                </c:pt>
                <c:pt idx="38">
                  <c:v>4754.3444329024305</c:v>
                </c:pt>
                <c:pt idx="39">
                  <c:v>2603.6160420775832</c:v>
                </c:pt>
                <c:pt idx="40">
                  <c:v>954.80999999999858</c:v>
                </c:pt>
                <c:pt idx="41">
                  <c:v>11.219776588009937</c:v>
                </c:pt>
                <c:pt idx="42">
                  <c:v>56.25</c:v>
                </c:pt>
                <c:pt idx="43">
                  <c:v>56.075716603569539</c:v>
                </c:pt>
                <c:pt idx="44">
                  <c:v>384.76902906910044</c:v>
                </c:pt>
                <c:pt idx="45">
                  <c:v>1053.7237345679011</c:v>
                </c:pt>
                <c:pt idx="46">
                  <c:v>3615.015625</c:v>
                </c:pt>
                <c:pt idx="47">
                  <c:v>5029.1736111111059</c:v>
                </c:pt>
                <c:pt idx="48">
                  <c:v>5062.7177854938218</c:v>
                </c:pt>
                <c:pt idx="49">
                  <c:v>6635.0444722106449</c:v>
                </c:pt>
                <c:pt idx="50">
                  <c:v>8583.7136694444453</c:v>
                </c:pt>
                <c:pt idx="51">
                  <c:v>6873.5478902345158</c:v>
                </c:pt>
                <c:pt idx="52">
                  <c:v>11252.313609467441</c:v>
                </c:pt>
                <c:pt idx="53">
                  <c:v>10662.185989478256</c:v>
                </c:pt>
                <c:pt idx="54">
                  <c:v>12229.697552297668</c:v>
                </c:pt>
                <c:pt idx="55">
                  <c:v>14172.902499999982</c:v>
                </c:pt>
                <c:pt idx="56">
                  <c:v>16566.218132174719</c:v>
                </c:pt>
                <c:pt idx="57">
                  <c:v>20073.172687750059</c:v>
                </c:pt>
                <c:pt idx="58">
                  <c:v>21016.250910374543</c:v>
                </c:pt>
                <c:pt idx="59">
                  <c:v>22860.329505011319</c:v>
                </c:pt>
                <c:pt idx="60">
                  <c:v>23742.101622299371</c:v>
                </c:pt>
                <c:pt idx="61">
                  <c:v>27823.789529770944</c:v>
                </c:pt>
                <c:pt idx="62">
                  <c:v>34324.036595632417</c:v>
                </c:pt>
                <c:pt idx="63">
                  <c:v>42955.852245527814</c:v>
                </c:pt>
                <c:pt idx="64">
                  <c:v>44795.061096191384</c:v>
                </c:pt>
                <c:pt idx="65">
                  <c:v>53416.691446416786</c:v>
                </c:pt>
                <c:pt idx="66">
                  <c:v>65417.750358700607</c:v>
                </c:pt>
                <c:pt idx="67">
                  <c:v>67214.431958676709</c:v>
                </c:pt>
                <c:pt idx="68">
                  <c:v>77388.966989859633</c:v>
                </c:pt>
                <c:pt idx="69">
                  <c:v>87909.385289038168</c:v>
                </c:pt>
                <c:pt idx="70">
                  <c:v>95237.633844954602</c:v>
                </c:pt>
                <c:pt idx="71">
                  <c:v>99187.292315512779</c:v>
                </c:pt>
                <c:pt idx="72">
                  <c:v>109960.55574979629</c:v>
                </c:pt>
                <c:pt idx="73">
                  <c:v>134995.00694444441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15-4AB3-BAA7-0496B863145A}"/>
            </c:ext>
          </c:extLst>
        </c:ser>
        <c:ser>
          <c:idx val="13"/>
          <c:order val="13"/>
          <c:tx>
            <c:strRef>
              <c:f>Sheet1!$N$2</c:f>
              <c:strCache>
                <c:ptCount val="1"/>
                <c:pt idx="0">
                  <c:v>abs e/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Sheet1!$N$3:$N$76</c:f>
              <c:numCache>
                <c:formatCode>General</c:formatCode>
                <c:ptCount val="74"/>
                <c:pt idx="1">
                  <c:v>0</c:v>
                </c:pt>
                <c:pt idx="2">
                  <c:v>20.927803379416211</c:v>
                </c:pt>
                <c:pt idx="3">
                  <c:v>228.53823178016734</c:v>
                </c:pt>
                <c:pt idx="4">
                  <c:v>23.31876026272586</c:v>
                </c:pt>
                <c:pt idx="5">
                  <c:v>184.30276381909601</c:v>
                </c:pt>
                <c:pt idx="6">
                  <c:v>658.20407040703913</c:v>
                </c:pt>
                <c:pt idx="7">
                  <c:v>660.71428571428726</c:v>
                </c:pt>
                <c:pt idx="8">
                  <c:v>1903.7470238095207</c:v>
                </c:pt>
                <c:pt idx="9">
                  <c:v>1042.3888888888869</c:v>
                </c:pt>
                <c:pt idx="10">
                  <c:v>324.93784153005453</c:v>
                </c:pt>
                <c:pt idx="11">
                  <c:v>143.70838903743356</c:v>
                </c:pt>
                <c:pt idx="12">
                  <c:v>42.898363095237912</c:v>
                </c:pt>
                <c:pt idx="13">
                  <c:v>61.04343444356337</c:v>
                </c:pt>
                <c:pt idx="14">
                  <c:v>1693.6630394345295</c:v>
                </c:pt>
                <c:pt idx="15">
                  <c:v>2788.1855820105829</c:v>
                </c:pt>
                <c:pt idx="16">
                  <c:v>944.96468592171732</c:v>
                </c:pt>
                <c:pt idx="17">
                  <c:v>2868.9880815071142</c:v>
                </c:pt>
                <c:pt idx="18">
                  <c:v>3279.0760233918259</c:v>
                </c:pt>
                <c:pt idx="19">
                  <c:v>27265.114035086965</c:v>
                </c:pt>
                <c:pt idx="20">
                  <c:v>10232.680000000235</c:v>
                </c:pt>
                <c:pt idx="21">
                  <c:v>2940.2777777777605</c:v>
                </c:pt>
                <c:pt idx="22">
                  <c:v>625.74527887571389</c:v>
                </c:pt>
                <c:pt idx="23">
                  <c:v>2110.2630166398276</c:v>
                </c:pt>
                <c:pt idx="24">
                  <c:v>1561.4531525573182</c:v>
                </c:pt>
                <c:pt idx="25">
                  <c:v>758.35942982456129</c:v>
                </c:pt>
                <c:pt idx="26">
                  <c:v>680.35427557878984</c:v>
                </c:pt>
                <c:pt idx="27">
                  <c:v>861.90965792180964</c:v>
                </c:pt>
                <c:pt idx="28">
                  <c:v>4766.8328373015765</c:v>
                </c:pt>
                <c:pt idx="29">
                  <c:v>571.08020147229661</c:v>
                </c:pt>
                <c:pt idx="30">
                  <c:v>1828.2881944444255</c:v>
                </c:pt>
                <c:pt idx="31">
                  <c:v>185.8786503319817</c:v>
                </c:pt>
                <c:pt idx="32">
                  <c:v>447.62983834244147</c:v>
                </c:pt>
                <c:pt idx="33">
                  <c:v>625.10610736999593</c:v>
                </c:pt>
                <c:pt idx="34">
                  <c:v>2219.1155303030182</c:v>
                </c:pt>
                <c:pt idx="35">
                  <c:v>3216.1309523809746</c:v>
                </c:pt>
                <c:pt idx="36">
                  <c:v>38631.24074074073</c:v>
                </c:pt>
                <c:pt idx="37">
                  <c:v>2495.7444183313673</c:v>
                </c:pt>
                <c:pt idx="38">
                  <c:v>1190.8903508771944</c:v>
                </c:pt>
                <c:pt idx="39">
                  <c:v>704.9016357206001</c:v>
                </c:pt>
                <c:pt idx="40">
                  <c:v>209.47499999999997</c:v>
                </c:pt>
                <c:pt idx="41">
                  <c:v>176.56222639149553</c:v>
                </c:pt>
                <c:pt idx="42">
                  <c:v>120.45329670329656</c:v>
                </c:pt>
                <c:pt idx="43">
                  <c:v>152.44540274141377</c:v>
                </c:pt>
                <c:pt idx="44">
                  <c:v>389.54277049637551</c:v>
                </c:pt>
                <c:pt idx="45">
                  <c:v>334.40541187739461</c:v>
                </c:pt>
                <c:pt idx="46">
                  <c:v>1516.5312500000023</c:v>
                </c:pt>
                <c:pt idx="47">
                  <c:v>12677.198412698406</c:v>
                </c:pt>
                <c:pt idx="48">
                  <c:v>1926.0661651234557</c:v>
                </c:pt>
                <c:pt idx="49">
                  <c:v>2103.8420208847801</c:v>
                </c:pt>
                <c:pt idx="50">
                  <c:v>3780.4340549828003</c:v>
                </c:pt>
                <c:pt idx="51">
                  <c:v>1165.8948586035065</c:v>
                </c:pt>
                <c:pt idx="52">
                  <c:v>45093.300000000992</c:v>
                </c:pt>
                <c:pt idx="53">
                  <c:v>3987.7637891690224</c:v>
                </c:pt>
                <c:pt idx="54">
                  <c:v>3880.9463252314954</c:v>
                </c:pt>
                <c:pt idx="55">
                  <c:v>3832.7486111111084</c:v>
                </c:pt>
                <c:pt idx="56">
                  <c:v>3336.7675211213491</c:v>
                </c:pt>
                <c:pt idx="57">
                  <c:v>9901.3957393483033</c:v>
                </c:pt>
                <c:pt idx="58">
                  <c:v>6835.4641346779572</c:v>
                </c:pt>
                <c:pt idx="59">
                  <c:v>11600.881869542884</c:v>
                </c:pt>
                <c:pt idx="60">
                  <c:v>4349.1655465949807</c:v>
                </c:pt>
                <c:pt idx="61">
                  <c:v>3561.0852077773525</c:v>
                </c:pt>
                <c:pt idx="62">
                  <c:v>3542.0215584323723</c:v>
                </c:pt>
                <c:pt idx="63">
                  <c:v>13159.764678272737</c:v>
                </c:pt>
                <c:pt idx="64">
                  <c:v>4723.5041177797857</c:v>
                </c:pt>
                <c:pt idx="65">
                  <c:v>4396.6803094864244</c:v>
                </c:pt>
                <c:pt idx="66">
                  <c:v>19007.368147769925</c:v>
                </c:pt>
                <c:pt idx="67">
                  <c:v>6449.614351527548</c:v>
                </c:pt>
                <c:pt idx="68">
                  <c:v>7325.9773554642543</c:v>
                </c:pt>
                <c:pt idx="69">
                  <c:v>10968.831330565843</c:v>
                </c:pt>
                <c:pt idx="70">
                  <c:v>17785.198424908358</c:v>
                </c:pt>
                <c:pt idx="71">
                  <c:v>9531.8602002641164</c:v>
                </c:pt>
                <c:pt idx="72">
                  <c:v>5564.3120026212446</c:v>
                </c:pt>
                <c:pt idx="73">
                  <c:v>7310.4118883792189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15-4AB3-BAA7-0496B863145A}"/>
            </c:ext>
          </c:extLst>
        </c:ser>
        <c:ser>
          <c:idx val="14"/>
          <c:order val="14"/>
          <c:tx>
            <c:strRef>
              <c:f>Sheet1!$O$2</c:f>
              <c:strCache>
                <c:ptCount val="1"/>
                <c:pt idx="0">
                  <c:v>ma (s=24)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Sheet1!$O$3:$O$76</c:f>
              <c:numCache>
                <c:formatCode>General</c:formatCode>
                <c:ptCount val="74"/>
                <c:pt idx="53">
                  <c:v>250.99213836477992</c:v>
                </c:pt>
                <c:pt idx="54">
                  <c:v>254.8176100628931</c:v>
                </c:pt>
                <c:pt idx="55">
                  <c:v>258.92610062893084</c:v>
                </c:pt>
                <c:pt idx="56">
                  <c:v>262.91981132075477</c:v>
                </c:pt>
                <c:pt idx="57">
                  <c:v>267.35220125786168</c:v>
                </c:pt>
                <c:pt idx="58">
                  <c:v>271.57547169811323</c:v>
                </c:pt>
                <c:pt idx="59">
                  <c:v>275.65251572327048</c:v>
                </c:pt>
                <c:pt idx="60">
                  <c:v>279.67452830188682</c:v>
                </c:pt>
                <c:pt idx="61">
                  <c:v>283.80188679245282</c:v>
                </c:pt>
                <c:pt idx="62">
                  <c:v>288.25786163522014</c:v>
                </c:pt>
                <c:pt idx="63">
                  <c:v>293.32704402515731</c:v>
                </c:pt>
                <c:pt idx="64">
                  <c:v>298.83018867924534</c:v>
                </c:pt>
                <c:pt idx="65">
                  <c:v>304.98270440251576</c:v>
                </c:pt>
                <c:pt idx="66">
                  <c:v>311.4544025157233</c:v>
                </c:pt>
                <c:pt idx="67">
                  <c:v>317.45597484276732</c:v>
                </c:pt>
                <c:pt idx="68">
                  <c:v>323.79245283018872</c:v>
                </c:pt>
                <c:pt idx="69">
                  <c:v>330.4905660377359</c:v>
                </c:pt>
                <c:pt idx="70">
                  <c:v>337.29402515723274</c:v>
                </c:pt>
                <c:pt idx="71">
                  <c:v>344.3820754716981</c:v>
                </c:pt>
                <c:pt idx="72">
                  <c:v>351.93238993710696</c:v>
                </c:pt>
                <c:pt idx="73">
                  <c:v>360.26100628930823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15-4AB3-BAA7-0496B863145A}"/>
            </c:ext>
          </c:extLst>
        </c:ser>
        <c:ser>
          <c:idx val="15"/>
          <c:order val="15"/>
          <c:tx>
            <c:strRef>
              <c:f>Sheet1!$P$2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Sheet1!$P$3:$P$76</c:f>
              <c:numCache>
                <c:formatCode>General</c:formatCode>
                <c:ptCount val="74"/>
                <c:pt idx="1">
                  <c:v>156.58333333333334</c:v>
                </c:pt>
                <c:pt idx="2">
                  <c:v>156.58333333333334</c:v>
                </c:pt>
                <c:pt idx="3">
                  <c:v>174.66666666666666</c:v>
                </c:pt>
                <c:pt idx="4">
                  <c:v>166.91666666666666</c:v>
                </c:pt>
                <c:pt idx="5">
                  <c:v>183.83333333333334</c:v>
                </c:pt>
                <c:pt idx="6">
                  <c:v>200.41666666666666</c:v>
                </c:pt>
                <c:pt idx="7">
                  <c:v>208.83333333333334</c:v>
                </c:pt>
                <c:pt idx="8">
                  <c:v>218.75</c:v>
                </c:pt>
                <c:pt idx="9">
                  <c:v>222.83333333333334</c:v>
                </c:pt>
                <c:pt idx="10">
                  <c:v>215.66666666666666</c:v>
                </c:pt>
                <c:pt idx="11">
                  <c:v>200.41666666666666</c:v>
                </c:pt>
                <c:pt idx="12">
                  <c:v>189.08333333333334</c:v>
                </c:pt>
                <c:pt idx="13">
                  <c:v>200.75</c:v>
                </c:pt>
                <c:pt idx="14">
                  <c:v>233.08333333333334</c:v>
                </c:pt>
                <c:pt idx="15">
                  <c:v>238.41666666666666</c:v>
                </c:pt>
                <c:pt idx="16">
                  <c:v>241.91666666666666</c:v>
                </c:pt>
                <c:pt idx="17">
                  <c:v>252.91666666666666</c:v>
                </c:pt>
                <c:pt idx="18">
                  <c:v>248.66666666666666</c:v>
                </c:pt>
                <c:pt idx="19">
                  <c:v>245.5</c:v>
                </c:pt>
                <c:pt idx="20">
                  <c:v>245.16666666666666</c:v>
                </c:pt>
                <c:pt idx="21">
                  <c:v>244.33333333333334</c:v>
                </c:pt>
                <c:pt idx="22">
                  <c:v>241.66666666666666</c:v>
                </c:pt>
                <c:pt idx="23">
                  <c:v>253.16666666666666</c:v>
                </c:pt>
                <c:pt idx="24">
                  <c:v>248.66666666666666</c:v>
                </c:pt>
                <c:pt idx="25">
                  <c:v>253.91666666666666</c:v>
                </c:pt>
                <c:pt idx="26">
                  <c:v>266.58333333333331</c:v>
                </c:pt>
                <c:pt idx="27">
                  <c:v>249.41666666666666</c:v>
                </c:pt>
                <c:pt idx="28">
                  <c:v>241.41666666666666</c:v>
                </c:pt>
                <c:pt idx="29">
                  <c:v>240.41666666666666</c:v>
                </c:pt>
                <c:pt idx="30">
                  <c:v>233</c:v>
                </c:pt>
                <c:pt idx="31">
                  <c:v>234.33333333333334</c:v>
                </c:pt>
                <c:pt idx="32">
                  <c:v>249.58333333333334</c:v>
                </c:pt>
                <c:pt idx="33">
                  <c:v>264.83333333333331</c:v>
                </c:pt>
                <c:pt idx="34">
                  <c:v>282.83333333333331</c:v>
                </c:pt>
                <c:pt idx="35">
                  <c:v>290.16666666666669</c:v>
                </c:pt>
                <c:pt idx="36">
                  <c:v>295.83333333333331</c:v>
                </c:pt>
                <c:pt idx="37">
                  <c:v>295.33333333333331</c:v>
                </c:pt>
                <c:pt idx="38">
                  <c:v>303</c:v>
                </c:pt>
                <c:pt idx="39">
                  <c:v>286.41666666666669</c:v>
                </c:pt>
                <c:pt idx="40">
                  <c:v>267.08333333333331</c:v>
                </c:pt>
                <c:pt idx="41">
                  <c:v>232.75</c:v>
                </c:pt>
                <c:pt idx="42">
                  <c:v>228.41666666666666</c:v>
                </c:pt>
                <c:pt idx="43">
                  <c:v>243.58333333333334</c:v>
                </c:pt>
                <c:pt idx="44">
                  <c:v>256.16666666666669</c:v>
                </c:pt>
                <c:pt idx="45">
                  <c:v>269.75</c:v>
                </c:pt>
                <c:pt idx="46">
                  <c:v>298.75</c:v>
                </c:pt>
                <c:pt idx="47">
                  <c:v>311.08333333333331</c:v>
                </c:pt>
                <c:pt idx="48">
                  <c:v>312.83333333333331</c:v>
                </c:pt>
                <c:pt idx="49">
                  <c:v>324.83333333333331</c:v>
                </c:pt>
                <c:pt idx="50">
                  <c:v>337.91666666666669</c:v>
                </c:pt>
                <c:pt idx="51">
                  <c:v>329.83333333333331</c:v>
                </c:pt>
                <c:pt idx="52">
                  <c:v>355.08333333333331</c:v>
                </c:pt>
                <c:pt idx="53">
                  <c:v>103.25786163522008</c:v>
                </c:pt>
                <c:pt idx="54">
                  <c:v>108.84905660377359</c:v>
                </c:pt>
                <c:pt idx="55">
                  <c:v>115.40723270440247</c:v>
                </c:pt>
                <c:pt idx="56">
                  <c:v>123.41352201257854</c:v>
                </c:pt>
                <c:pt idx="57">
                  <c:v>134.48113207547163</c:v>
                </c:pt>
                <c:pt idx="58">
                  <c:v>136.09119496855345</c:v>
                </c:pt>
                <c:pt idx="59">
                  <c:v>140.84748427672952</c:v>
                </c:pt>
                <c:pt idx="60">
                  <c:v>142.32547169811318</c:v>
                </c:pt>
                <c:pt idx="61">
                  <c:v>153.69811320754718</c:v>
                </c:pt>
                <c:pt idx="62">
                  <c:v>170.74213836477986</c:v>
                </c:pt>
                <c:pt idx="63">
                  <c:v>191.00628930817601</c:v>
                </c:pt>
                <c:pt idx="64">
                  <c:v>193.25314465408798</c:v>
                </c:pt>
                <c:pt idx="65">
                  <c:v>210.18396226415086</c:v>
                </c:pt>
                <c:pt idx="66">
                  <c:v>232.2955974842767</c:v>
                </c:pt>
                <c:pt idx="67">
                  <c:v>233.71069182389931</c:v>
                </c:pt>
                <c:pt idx="68">
                  <c:v>250.45754716981128</c:v>
                </c:pt>
                <c:pt idx="69">
                  <c:v>266.42610062893073</c:v>
                </c:pt>
                <c:pt idx="70">
                  <c:v>276.20597484276726</c:v>
                </c:pt>
                <c:pt idx="71">
                  <c:v>279.95125786163527</c:v>
                </c:pt>
                <c:pt idx="72">
                  <c:v>293.73427672955967</c:v>
                </c:pt>
                <c:pt idx="73">
                  <c:v>326.32232704402514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15-4AB3-BAA7-0496B863145A}"/>
            </c:ext>
          </c:extLst>
        </c:ser>
        <c:ser>
          <c:idx val="16"/>
          <c:order val="16"/>
          <c:tx>
            <c:strRef>
              <c:f>Sheet1!$Q$2</c:f>
              <c:strCache>
                <c:ptCount val="1"/>
                <c:pt idx="0">
                  <c:v>abs 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Sheet1!$Q$3:$Q$76</c:f>
              <c:numCache>
                <c:formatCode>General</c:formatCode>
                <c:ptCount val="74"/>
                <c:pt idx="1">
                  <c:v>156.58333333333334</c:v>
                </c:pt>
                <c:pt idx="2">
                  <c:v>156.58333333333334</c:v>
                </c:pt>
                <c:pt idx="3">
                  <c:v>174.66666666666666</c:v>
                </c:pt>
                <c:pt idx="4">
                  <c:v>166.91666666666666</c:v>
                </c:pt>
                <c:pt idx="5">
                  <c:v>183.83333333333334</c:v>
                </c:pt>
                <c:pt idx="6">
                  <c:v>200.41666666666666</c:v>
                </c:pt>
                <c:pt idx="7">
                  <c:v>208.83333333333334</c:v>
                </c:pt>
                <c:pt idx="8">
                  <c:v>218.75</c:v>
                </c:pt>
                <c:pt idx="9">
                  <c:v>222.83333333333334</c:v>
                </c:pt>
                <c:pt idx="10">
                  <c:v>215.66666666666666</c:v>
                </c:pt>
                <c:pt idx="11">
                  <c:v>200.41666666666666</c:v>
                </c:pt>
                <c:pt idx="12">
                  <c:v>189.08333333333334</c:v>
                </c:pt>
                <c:pt idx="13">
                  <c:v>200.75</c:v>
                </c:pt>
                <c:pt idx="14">
                  <c:v>233.08333333333334</c:v>
                </c:pt>
                <c:pt idx="15">
                  <c:v>238.41666666666666</c:v>
                </c:pt>
                <c:pt idx="16">
                  <c:v>241.91666666666666</c:v>
                </c:pt>
                <c:pt idx="17">
                  <c:v>252.91666666666666</c:v>
                </c:pt>
                <c:pt idx="18">
                  <c:v>248.66666666666666</c:v>
                </c:pt>
                <c:pt idx="19">
                  <c:v>245.5</c:v>
                </c:pt>
                <c:pt idx="20">
                  <c:v>245.16666666666666</c:v>
                </c:pt>
                <c:pt idx="21">
                  <c:v>244.33333333333334</c:v>
                </c:pt>
                <c:pt idx="22">
                  <c:v>241.66666666666666</c:v>
                </c:pt>
                <c:pt idx="23">
                  <c:v>253.16666666666666</c:v>
                </c:pt>
                <c:pt idx="24">
                  <c:v>248.66666666666666</c:v>
                </c:pt>
                <c:pt idx="25">
                  <c:v>253.91666666666666</c:v>
                </c:pt>
                <c:pt idx="26">
                  <c:v>266.58333333333331</c:v>
                </c:pt>
                <c:pt idx="27">
                  <c:v>249.41666666666666</c:v>
                </c:pt>
                <c:pt idx="28">
                  <c:v>241.41666666666666</c:v>
                </c:pt>
                <c:pt idx="29">
                  <c:v>240.41666666666666</c:v>
                </c:pt>
                <c:pt idx="30">
                  <c:v>233</c:v>
                </c:pt>
                <c:pt idx="31">
                  <c:v>234.33333333333334</c:v>
                </c:pt>
                <c:pt idx="32">
                  <c:v>249.58333333333334</c:v>
                </c:pt>
                <c:pt idx="33">
                  <c:v>264.83333333333331</c:v>
                </c:pt>
                <c:pt idx="34">
                  <c:v>282.83333333333331</c:v>
                </c:pt>
                <c:pt idx="35">
                  <c:v>290.16666666666669</c:v>
                </c:pt>
                <c:pt idx="36">
                  <c:v>295.83333333333331</c:v>
                </c:pt>
                <c:pt idx="37">
                  <c:v>295.33333333333331</c:v>
                </c:pt>
                <c:pt idx="38">
                  <c:v>303</c:v>
                </c:pt>
                <c:pt idx="39">
                  <c:v>286.41666666666669</c:v>
                </c:pt>
                <c:pt idx="40">
                  <c:v>267.08333333333331</c:v>
                </c:pt>
                <c:pt idx="41">
                  <c:v>232.75</c:v>
                </c:pt>
                <c:pt idx="42">
                  <c:v>228.41666666666666</c:v>
                </c:pt>
                <c:pt idx="43">
                  <c:v>243.58333333333334</c:v>
                </c:pt>
                <c:pt idx="44">
                  <c:v>256.16666666666669</c:v>
                </c:pt>
                <c:pt idx="45">
                  <c:v>269.75</c:v>
                </c:pt>
                <c:pt idx="46">
                  <c:v>298.75</c:v>
                </c:pt>
                <c:pt idx="47">
                  <c:v>311.08333333333331</c:v>
                </c:pt>
                <c:pt idx="48">
                  <c:v>312.83333333333331</c:v>
                </c:pt>
                <c:pt idx="49">
                  <c:v>324.83333333333331</c:v>
                </c:pt>
                <c:pt idx="50">
                  <c:v>337.91666666666669</c:v>
                </c:pt>
                <c:pt idx="51">
                  <c:v>329.83333333333331</c:v>
                </c:pt>
                <c:pt idx="52">
                  <c:v>355.08333333333331</c:v>
                </c:pt>
                <c:pt idx="53">
                  <c:v>103.25786163522008</c:v>
                </c:pt>
                <c:pt idx="54">
                  <c:v>108.84905660377359</c:v>
                </c:pt>
                <c:pt idx="55">
                  <c:v>115.40723270440247</c:v>
                </c:pt>
                <c:pt idx="56">
                  <c:v>123.41352201257854</c:v>
                </c:pt>
                <c:pt idx="57">
                  <c:v>134.48113207547163</c:v>
                </c:pt>
                <c:pt idx="58">
                  <c:v>136.09119496855345</c:v>
                </c:pt>
                <c:pt idx="59">
                  <c:v>140.84748427672952</c:v>
                </c:pt>
                <c:pt idx="60">
                  <c:v>142.32547169811318</c:v>
                </c:pt>
                <c:pt idx="61">
                  <c:v>153.69811320754718</c:v>
                </c:pt>
                <c:pt idx="62">
                  <c:v>170.74213836477986</c:v>
                </c:pt>
                <c:pt idx="63">
                  <c:v>191.00628930817601</c:v>
                </c:pt>
                <c:pt idx="64">
                  <c:v>193.25314465408798</c:v>
                </c:pt>
                <c:pt idx="65">
                  <c:v>210.18396226415086</c:v>
                </c:pt>
                <c:pt idx="66">
                  <c:v>232.2955974842767</c:v>
                </c:pt>
                <c:pt idx="67">
                  <c:v>233.71069182389931</c:v>
                </c:pt>
                <c:pt idx="68">
                  <c:v>250.45754716981128</c:v>
                </c:pt>
                <c:pt idx="69">
                  <c:v>266.42610062893073</c:v>
                </c:pt>
                <c:pt idx="70">
                  <c:v>276.20597484276726</c:v>
                </c:pt>
                <c:pt idx="71">
                  <c:v>279.95125786163527</c:v>
                </c:pt>
                <c:pt idx="72">
                  <c:v>293.73427672955967</c:v>
                </c:pt>
                <c:pt idx="73">
                  <c:v>326.32232704402514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C15-4AB3-BAA7-0496B863145A}"/>
            </c:ext>
          </c:extLst>
        </c:ser>
        <c:ser>
          <c:idx val="17"/>
          <c:order val="17"/>
          <c:tx>
            <c:strRef>
              <c:f>Sheet1!$R$2</c:f>
              <c:strCache>
                <c:ptCount val="1"/>
                <c:pt idx="0">
                  <c:v>e^2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Sheet1!$R$3:$R$76</c:f>
              <c:numCache>
                <c:formatCode>General</c:formatCode>
                <c:ptCount val="74"/>
                <c:pt idx="1">
                  <c:v>24518.340277777781</c:v>
                </c:pt>
                <c:pt idx="2">
                  <c:v>24518.340277777781</c:v>
                </c:pt>
                <c:pt idx="3">
                  <c:v>30508.444444444442</c:v>
                </c:pt>
                <c:pt idx="4">
                  <c:v>27861.173611111109</c:v>
                </c:pt>
                <c:pt idx="5">
                  <c:v>33794.694444444445</c:v>
                </c:pt>
                <c:pt idx="6">
                  <c:v>40166.840277777774</c:v>
                </c:pt>
                <c:pt idx="7">
                  <c:v>43611.361111111117</c:v>
                </c:pt>
                <c:pt idx="8">
                  <c:v>47851.5625</c:v>
                </c:pt>
                <c:pt idx="9">
                  <c:v>49654.694444444445</c:v>
                </c:pt>
                <c:pt idx="10">
                  <c:v>46512.111111111109</c:v>
                </c:pt>
                <c:pt idx="11">
                  <c:v>40166.840277777774</c:v>
                </c:pt>
                <c:pt idx="12">
                  <c:v>35752.506944444445</c:v>
                </c:pt>
                <c:pt idx="13">
                  <c:v>40300.5625</c:v>
                </c:pt>
                <c:pt idx="14">
                  <c:v>54327.840277777781</c:v>
                </c:pt>
                <c:pt idx="15">
                  <c:v>56842.506944444438</c:v>
                </c:pt>
                <c:pt idx="16">
                  <c:v>58523.673611111109</c:v>
                </c:pt>
                <c:pt idx="17">
                  <c:v>63966.840277777774</c:v>
                </c:pt>
                <c:pt idx="18">
                  <c:v>61835.111111111109</c:v>
                </c:pt>
                <c:pt idx="19">
                  <c:v>60270.25</c:v>
                </c:pt>
                <c:pt idx="20">
                  <c:v>60106.694444444438</c:v>
                </c:pt>
                <c:pt idx="21">
                  <c:v>59698.777777777781</c:v>
                </c:pt>
                <c:pt idx="22">
                  <c:v>58402.777777777774</c:v>
                </c:pt>
                <c:pt idx="23">
                  <c:v>64093.361111111109</c:v>
                </c:pt>
                <c:pt idx="24">
                  <c:v>61835.111111111109</c:v>
                </c:pt>
                <c:pt idx="25">
                  <c:v>64473.673611111109</c:v>
                </c:pt>
                <c:pt idx="26">
                  <c:v>71066.673611111095</c:v>
                </c:pt>
                <c:pt idx="27">
                  <c:v>62208.673611111109</c:v>
                </c:pt>
                <c:pt idx="28">
                  <c:v>58282.006944444438</c:v>
                </c:pt>
                <c:pt idx="29">
                  <c:v>57800.173611111109</c:v>
                </c:pt>
                <c:pt idx="30">
                  <c:v>54289</c:v>
                </c:pt>
                <c:pt idx="31">
                  <c:v>54912.111111111117</c:v>
                </c:pt>
                <c:pt idx="32">
                  <c:v>62291.840277777781</c:v>
                </c:pt>
                <c:pt idx="33">
                  <c:v>70136.694444444438</c:v>
                </c:pt>
                <c:pt idx="34">
                  <c:v>79994.694444444438</c:v>
                </c:pt>
                <c:pt idx="35">
                  <c:v>84196.694444444453</c:v>
                </c:pt>
                <c:pt idx="36">
                  <c:v>87517.361111111095</c:v>
                </c:pt>
                <c:pt idx="37">
                  <c:v>87221.777777777766</c:v>
                </c:pt>
                <c:pt idx="38">
                  <c:v>91809</c:v>
                </c:pt>
                <c:pt idx="39">
                  <c:v>82034.506944444453</c:v>
                </c:pt>
                <c:pt idx="40">
                  <c:v>71333.506944444438</c:v>
                </c:pt>
                <c:pt idx="41">
                  <c:v>54172.5625</c:v>
                </c:pt>
                <c:pt idx="42">
                  <c:v>52174.173611111109</c:v>
                </c:pt>
                <c:pt idx="43">
                  <c:v>59332.840277777781</c:v>
                </c:pt>
                <c:pt idx="44">
                  <c:v>65621.361111111124</c:v>
                </c:pt>
                <c:pt idx="45">
                  <c:v>72765.0625</c:v>
                </c:pt>
                <c:pt idx="46">
                  <c:v>89251.5625</c:v>
                </c:pt>
                <c:pt idx="47">
                  <c:v>96772.840277777766</c:v>
                </c:pt>
                <c:pt idx="48">
                  <c:v>97864.694444444438</c:v>
                </c:pt>
                <c:pt idx="49">
                  <c:v>105516.69444444444</c:v>
                </c:pt>
                <c:pt idx="50">
                  <c:v>114187.67361111112</c:v>
                </c:pt>
                <c:pt idx="51">
                  <c:v>108790.02777777777</c:v>
                </c:pt>
                <c:pt idx="52">
                  <c:v>126084.17361111109</c:v>
                </c:pt>
                <c:pt idx="53">
                  <c:v>10662.185989478256</c:v>
                </c:pt>
                <c:pt idx="54">
                  <c:v>11848.117123531507</c:v>
                </c:pt>
                <c:pt idx="55">
                  <c:v>13318.829360488104</c:v>
                </c:pt>
                <c:pt idx="56">
                  <c:v>15230.897415549207</c:v>
                </c:pt>
                <c:pt idx="57">
                  <c:v>18085.174884300446</c:v>
                </c:pt>
                <c:pt idx="58">
                  <c:v>18520.813347968829</c:v>
                </c:pt>
                <c:pt idx="59">
                  <c:v>19838.013827083567</c:v>
                </c:pt>
                <c:pt idx="60">
                  <c:v>20256.539894090416</c:v>
                </c:pt>
                <c:pt idx="61">
                  <c:v>23623.110003559988</c:v>
                </c:pt>
                <c:pt idx="62">
                  <c:v>29152.877813377632</c:v>
                </c:pt>
                <c:pt idx="63">
                  <c:v>36483.402555278633</c:v>
                </c:pt>
                <c:pt idx="64">
                  <c:v>37346.77791869385</c:v>
                </c:pt>
                <c:pt idx="65">
                  <c:v>44177.297993057997</c:v>
                </c:pt>
                <c:pt idx="66">
                  <c:v>53961.244610577101</c:v>
                </c:pt>
                <c:pt idx="67">
                  <c:v>54620.687472805635</c:v>
                </c:pt>
                <c:pt idx="68">
                  <c:v>62728.982934318243</c:v>
                </c:pt>
                <c:pt idx="69">
                  <c:v>70982.867096337126</c:v>
                </c:pt>
                <c:pt idx="70">
                  <c:v>76289.740538843384</c:v>
                </c:pt>
                <c:pt idx="71">
                  <c:v>78372.706778311796</c:v>
                </c:pt>
                <c:pt idx="72">
                  <c:v>86279.825325837533</c:v>
                </c:pt>
                <c:pt idx="73">
                  <c:v>106486.2611274277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C15-4AB3-BAA7-0496B863145A}"/>
            </c:ext>
          </c:extLst>
        </c:ser>
        <c:ser>
          <c:idx val="18"/>
          <c:order val="18"/>
          <c:tx>
            <c:strRef>
              <c:f>Sheet1!$S$2</c:f>
              <c:strCache>
                <c:ptCount val="1"/>
                <c:pt idx="0">
                  <c:v>abs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Sheet1!$S$3:$S$76</c:f>
              <c:numCache>
                <c:formatCode>General</c:formatCode>
                <c:ptCount val="74"/>
                <c:pt idx="2">
                  <c:v>7.4820720786847001</c:v>
                </c:pt>
                <c:pt idx="3">
                  <c:v>0.76427766726873014</c:v>
                </c:pt>
                <c:pt idx="4">
                  <c:v>7.1580420565271865</c:v>
                </c:pt>
                <c:pt idx="5">
                  <c:v>0.99745293843654215</c:v>
                </c:pt>
                <c:pt idx="6">
                  <c:v>0.30449016600995377</c:v>
                </c:pt>
                <c:pt idx="7">
                  <c:v>0.31607207207207133</c:v>
                </c:pt>
                <c:pt idx="8">
                  <c:v>0.11490497280582329</c:v>
                </c:pt>
                <c:pt idx="9">
                  <c:v>0.21377178489580601</c:v>
                </c:pt>
                <c:pt idx="10">
                  <c:v>0.66371668393913108</c:v>
                </c:pt>
                <c:pt idx="11">
                  <c:v>1.39460659192597</c:v>
                </c:pt>
                <c:pt idx="12">
                  <c:v>4.4077050892024179</c:v>
                </c:pt>
                <c:pt idx="13">
                  <c:v>3.2886419617428286</c:v>
                </c:pt>
                <c:pt idx="14">
                  <c:v>0.1376208418713287</c:v>
                </c:pt>
                <c:pt idx="15">
                  <c:v>8.5509611772234498E-2</c:v>
                </c:pt>
                <c:pt idx="16">
                  <c:v>0.25600603945395212</c:v>
                </c:pt>
                <c:pt idx="17">
                  <c:v>8.8155356342158958E-2</c:v>
                </c:pt>
                <c:pt idx="18">
                  <c:v>7.5834370686364783E-2</c:v>
                </c:pt>
                <c:pt idx="19">
                  <c:v>9.0041802019999121E-3</c:v>
                </c:pt>
                <c:pt idx="20">
                  <c:v>2.3959184364864439E-2</c:v>
                </c:pt>
                <c:pt idx="21">
                  <c:v>8.3098724610298075E-2</c:v>
                </c:pt>
                <c:pt idx="22">
                  <c:v>0.38620613662618891</c:v>
                </c:pt>
                <c:pt idx="23">
                  <c:v>0.11996924775272043</c:v>
                </c:pt>
                <c:pt idx="24">
                  <c:v>0.15925336361158524</c:v>
                </c:pt>
                <c:pt idx="25">
                  <c:v>0.33482364256406449</c:v>
                </c:pt>
                <c:pt idx="26">
                  <c:v>0.39183017275307924</c:v>
                </c:pt>
                <c:pt idx="27">
                  <c:v>0.28937680924477255</c:v>
                </c:pt>
                <c:pt idx="28">
                  <c:v>5.0645087609853874E-2</c:v>
                </c:pt>
                <c:pt idx="29">
                  <c:v>0.42098581958689979</c:v>
                </c:pt>
                <c:pt idx="30">
                  <c:v>0.12744161489857639</c:v>
                </c:pt>
                <c:pt idx="31">
                  <c:v>1.2606791200324026</c:v>
                </c:pt>
                <c:pt idx="32">
                  <c:v>0.55756634601824617</c:v>
                </c:pt>
                <c:pt idx="33">
                  <c:v>0.42366140757697046</c:v>
                </c:pt>
                <c:pt idx="34">
                  <c:v>0.12745318099536382</c:v>
                </c:pt>
                <c:pt idx="35">
                  <c:v>9.0222279802335076E-2</c:v>
                </c:pt>
                <c:pt idx="36">
                  <c:v>7.657878123012129E-3</c:v>
                </c:pt>
                <c:pt idx="37">
                  <c:v>0.11833476663880133</c:v>
                </c:pt>
                <c:pt idx="38">
                  <c:v>0.25443148462561155</c:v>
                </c:pt>
                <c:pt idx="39">
                  <c:v>0.4063214669290296</c:v>
                </c:pt>
                <c:pt idx="40">
                  <c:v>1.2750129291482677</c:v>
                </c:pt>
                <c:pt idx="41">
                  <c:v>1.3182321312822485</c:v>
                </c:pt>
                <c:pt idx="42">
                  <c:v>1.8963089671950453</c:v>
                </c:pt>
                <c:pt idx="43">
                  <c:v>1.5978398098794275</c:v>
                </c:pt>
                <c:pt idx="44">
                  <c:v>0.65760857617828694</c:v>
                </c:pt>
                <c:pt idx="45">
                  <c:v>0.80665560549869431</c:v>
                </c:pt>
                <c:pt idx="46">
                  <c:v>0.19699561087184952</c:v>
                </c:pt>
                <c:pt idx="47">
                  <c:v>2.4538807645522812E-2</c:v>
                </c:pt>
                <c:pt idx="48">
                  <c:v>0.16242086538770673</c:v>
                </c:pt>
                <c:pt idx="49">
                  <c:v>0.15440005956185018</c:v>
                </c:pt>
                <c:pt idx="50">
                  <c:v>8.9385679462197123E-2</c:v>
                </c:pt>
                <c:pt idx="51">
                  <c:v>0.28290143909580606</c:v>
                </c:pt>
                <c:pt idx="52">
                  <c:v>7.8744144547710088E-3</c:v>
                </c:pt>
                <c:pt idx="53">
                  <c:v>2.5893675527039466E-2</c:v>
                </c:pt>
                <c:pt idx="54">
                  <c:v>2.8047039943867511E-2</c:v>
                </c:pt>
                <c:pt idx="55">
                  <c:v>3.0110827610722448E-2</c:v>
                </c:pt>
                <c:pt idx="56">
                  <c:v>3.6985951592787135E-2</c:v>
                </c:pt>
                <c:pt idx="57">
                  <c:v>1.3582037887955683E-2</c:v>
                </c:pt>
                <c:pt idx="58">
                  <c:v>1.9909576334126312E-2</c:v>
                </c:pt>
                <c:pt idx="59">
                  <c:v>1.2141101500784389E-2</c:v>
                </c:pt>
                <c:pt idx="60">
                  <c:v>3.2724776781500459E-2</c:v>
                </c:pt>
                <c:pt idx="61">
                  <c:v>4.3160470541921597E-2</c:v>
                </c:pt>
                <c:pt idx="62">
                  <c:v>4.820471460945791E-2</c:v>
                </c:pt>
                <c:pt idx="63">
                  <c:v>1.4514415263331762E-2</c:v>
                </c:pt>
                <c:pt idx="64">
                  <c:v>4.0913089061712052E-2</c:v>
                </c:pt>
                <c:pt idx="65">
                  <c:v>4.7805150128985022E-2</c:v>
                </c:pt>
                <c:pt idx="66">
                  <c:v>1.2221344674251034E-2</c:v>
                </c:pt>
                <c:pt idx="67">
                  <c:v>3.623638237665272E-2</c:v>
                </c:pt>
                <c:pt idx="68">
                  <c:v>3.4187595049417069E-2</c:v>
                </c:pt>
                <c:pt idx="69">
                  <c:v>2.4289378931965651E-2</c:v>
                </c:pt>
                <c:pt idx="70">
                  <c:v>1.5530103642585055E-2</c:v>
                </c:pt>
                <c:pt idx="71">
                  <c:v>2.9370054950436448E-2</c:v>
                </c:pt>
                <c:pt idx="72">
                  <c:v>5.2788965929873609E-2</c:v>
                </c:pt>
                <c:pt idx="73">
                  <c:v>4.4638022046713105E-2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C15-4AB3-BAA7-0496B8631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642816"/>
        <c:axId val="1948640320"/>
      </c:lineChart>
      <c:catAx>
        <c:axId val="1948642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40320"/>
        <c:crosses val="autoZero"/>
        <c:auto val="1"/>
        <c:lblAlgn val="ctr"/>
        <c:lblOffset val="100"/>
        <c:noMultiLvlLbl val="0"/>
      </c:catAx>
      <c:valAx>
        <c:axId val="19486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4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Sheet1!$A$3:$A$76</c:f>
              <c:numCache>
                <c:formatCode>General</c:formatCode>
                <c:ptCount val="74"/>
                <c:pt idx="0">
                  <c:v>1940</c:v>
                </c:pt>
                <c:pt idx="1">
                  <c:v>1950</c:v>
                </c:pt>
                <c:pt idx="2">
                  <c:v>1953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  <c:pt idx="73">
                  <c:v>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8-4551-9949-B9A3F337FE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Sheet1!$B$3:$B$76</c:f>
              <c:numCache>
                <c:formatCode>General</c:formatCode>
                <c:ptCount val="74"/>
                <c:pt idx="0">
                  <c:v>1931</c:v>
                </c:pt>
                <c:pt idx="1">
                  <c:v>1879</c:v>
                </c:pt>
                <c:pt idx="2">
                  <c:v>2096</c:v>
                </c:pt>
                <c:pt idx="3">
                  <c:v>2003</c:v>
                </c:pt>
                <c:pt idx="4">
                  <c:v>2206</c:v>
                </c:pt>
                <c:pt idx="5">
                  <c:v>2405</c:v>
                </c:pt>
                <c:pt idx="6">
                  <c:v>2506</c:v>
                </c:pt>
                <c:pt idx="7">
                  <c:v>2625</c:v>
                </c:pt>
                <c:pt idx="8">
                  <c:v>2674</c:v>
                </c:pt>
                <c:pt idx="9">
                  <c:v>2588</c:v>
                </c:pt>
                <c:pt idx="10">
                  <c:v>2405</c:v>
                </c:pt>
                <c:pt idx="11">
                  <c:v>2269</c:v>
                </c:pt>
                <c:pt idx="12">
                  <c:v>2409</c:v>
                </c:pt>
                <c:pt idx="13">
                  <c:v>2797</c:v>
                </c:pt>
                <c:pt idx="14">
                  <c:v>2861</c:v>
                </c:pt>
                <c:pt idx="15">
                  <c:v>2903</c:v>
                </c:pt>
                <c:pt idx="16">
                  <c:v>3035</c:v>
                </c:pt>
                <c:pt idx="17">
                  <c:v>2984</c:v>
                </c:pt>
                <c:pt idx="18">
                  <c:v>2946</c:v>
                </c:pt>
                <c:pt idx="19">
                  <c:v>2942</c:v>
                </c:pt>
                <c:pt idx="20">
                  <c:v>2932</c:v>
                </c:pt>
                <c:pt idx="21">
                  <c:v>2900</c:v>
                </c:pt>
                <c:pt idx="22">
                  <c:v>3038</c:v>
                </c:pt>
                <c:pt idx="23">
                  <c:v>2984</c:v>
                </c:pt>
                <c:pt idx="24">
                  <c:v>3047</c:v>
                </c:pt>
                <c:pt idx="25">
                  <c:v>3199</c:v>
                </c:pt>
                <c:pt idx="26">
                  <c:v>2993</c:v>
                </c:pt>
                <c:pt idx="27">
                  <c:v>2897</c:v>
                </c:pt>
                <c:pt idx="28">
                  <c:v>2885</c:v>
                </c:pt>
                <c:pt idx="29">
                  <c:v>2796</c:v>
                </c:pt>
                <c:pt idx="30">
                  <c:v>2812</c:v>
                </c:pt>
                <c:pt idx="31">
                  <c:v>2995</c:v>
                </c:pt>
                <c:pt idx="32">
                  <c:v>3178</c:v>
                </c:pt>
                <c:pt idx="33">
                  <c:v>3394</c:v>
                </c:pt>
                <c:pt idx="34">
                  <c:v>3482</c:v>
                </c:pt>
                <c:pt idx="35">
                  <c:v>3550</c:v>
                </c:pt>
                <c:pt idx="36">
                  <c:v>3544</c:v>
                </c:pt>
                <c:pt idx="37">
                  <c:v>3636</c:v>
                </c:pt>
                <c:pt idx="38">
                  <c:v>3437</c:v>
                </c:pt>
                <c:pt idx="39">
                  <c:v>3205</c:v>
                </c:pt>
                <c:pt idx="40">
                  <c:v>2793</c:v>
                </c:pt>
                <c:pt idx="41">
                  <c:v>2741</c:v>
                </c:pt>
                <c:pt idx="42">
                  <c:v>2923</c:v>
                </c:pt>
                <c:pt idx="43">
                  <c:v>3074</c:v>
                </c:pt>
                <c:pt idx="44">
                  <c:v>3237</c:v>
                </c:pt>
                <c:pt idx="45">
                  <c:v>3585</c:v>
                </c:pt>
                <c:pt idx="46">
                  <c:v>3733</c:v>
                </c:pt>
                <c:pt idx="47">
                  <c:v>3754</c:v>
                </c:pt>
                <c:pt idx="48">
                  <c:v>3898</c:v>
                </c:pt>
                <c:pt idx="49">
                  <c:v>4055</c:v>
                </c:pt>
                <c:pt idx="50">
                  <c:v>3958</c:v>
                </c:pt>
                <c:pt idx="51">
                  <c:v>4261</c:v>
                </c:pt>
                <c:pt idx="52">
                  <c:v>4251</c:v>
                </c:pt>
                <c:pt idx="53">
                  <c:v>4364</c:v>
                </c:pt>
                <c:pt idx="54">
                  <c:v>4492</c:v>
                </c:pt>
                <c:pt idx="55">
                  <c:v>4636</c:v>
                </c:pt>
                <c:pt idx="56">
                  <c:v>4822</c:v>
                </c:pt>
                <c:pt idx="57">
                  <c:v>4892</c:v>
                </c:pt>
                <c:pt idx="58">
                  <c:v>4998</c:v>
                </c:pt>
                <c:pt idx="59">
                  <c:v>5064</c:v>
                </c:pt>
                <c:pt idx="60">
                  <c:v>5250</c:v>
                </c:pt>
                <c:pt idx="61">
                  <c:v>5508</c:v>
                </c:pt>
                <c:pt idx="62">
                  <c:v>5812</c:v>
                </c:pt>
                <c:pt idx="63">
                  <c:v>5905</c:v>
                </c:pt>
                <c:pt idx="64">
                  <c:v>6182</c:v>
                </c:pt>
                <c:pt idx="65">
                  <c:v>6525</c:v>
                </c:pt>
                <c:pt idx="66">
                  <c:v>6614</c:v>
                </c:pt>
                <c:pt idx="67">
                  <c:v>6891</c:v>
                </c:pt>
                <c:pt idx="68">
                  <c:v>7163</c:v>
                </c:pt>
                <c:pt idx="69">
                  <c:v>7362</c:v>
                </c:pt>
                <c:pt idx="70">
                  <c:v>7492</c:v>
                </c:pt>
                <c:pt idx="71">
                  <c:v>7748</c:v>
                </c:pt>
                <c:pt idx="72">
                  <c:v>8239</c:v>
                </c:pt>
                <c:pt idx="73">
                  <c:v>8675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48-4551-9949-B9A3F337FEE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Sheet1!$C$3:$C$76</c:f>
              <c:numCache>
                <c:formatCode>General</c:formatCode>
                <c:ptCount val="7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48-4551-9949-B9A3F337FEE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Sheet1!$D$3:$D$76</c:f>
              <c:numCache>
                <c:formatCode>General</c:formatCode>
                <c:ptCount val="74"/>
                <c:pt idx="0">
                  <c:v>160.91666666666666</c:v>
                </c:pt>
                <c:pt idx="1">
                  <c:v>156.58333333333334</c:v>
                </c:pt>
                <c:pt idx="2">
                  <c:v>174.66666666666666</c:v>
                </c:pt>
                <c:pt idx="3">
                  <c:v>166.91666666666666</c:v>
                </c:pt>
                <c:pt idx="4">
                  <c:v>183.83333333333334</c:v>
                </c:pt>
                <c:pt idx="5">
                  <c:v>200.41666666666666</c:v>
                </c:pt>
                <c:pt idx="6">
                  <c:v>208.83333333333334</c:v>
                </c:pt>
                <c:pt idx="7">
                  <c:v>218.75</c:v>
                </c:pt>
                <c:pt idx="8">
                  <c:v>222.83333333333334</c:v>
                </c:pt>
                <c:pt idx="9">
                  <c:v>215.66666666666666</c:v>
                </c:pt>
                <c:pt idx="10">
                  <c:v>200.41666666666666</c:v>
                </c:pt>
                <c:pt idx="11">
                  <c:v>189.08333333333334</c:v>
                </c:pt>
                <c:pt idx="12">
                  <c:v>200.75</c:v>
                </c:pt>
                <c:pt idx="13">
                  <c:v>233.08333333333334</c:v>
                </c:pt>
                <c:pt idx="14">
                  <c:v>238.41666666666666</c:v>
                </c:pt>
                <c:pt idx="15">
                  <c:v>241.91666666666666</c:v>
                </c:pt>
                <c:pt idx="16">
                  <c:v>252.91666666666666</c:v>
                </c:pt>
                <c:pt idx="17">
                  <c:v>248.66666666666666</c:v>
                </c:pt>
                <c:pt idx="18">
                  <c:v>245.5</c:v>
                </c:pt>
                <c:pt idx="19">
                  <c:v>245.16666666666666</c:v>
                </c:pt>
                <c:pt idx="20">
                  <c:v>244.33333333333334</c:v>
                </c:pt>
                <c:pt idx="21">
                  <c:v>241.66666666666666</c:v>
                </c:pt>
                <c:pt idx="22">
                  <c:v>253.16666666666666</c:v>
                </c:pt>
                <c:pt idx="23">
                  <c:v>248.66666666666666</c:v>
                </c:pt>
                <c:pt idx="24">
                  <c:v>253.91666666666666</c:v>
                </c:pt>
                <c:pt idx="25">
                  <c:v>266.58333333333331</c:v>
                </c:pt>
                <c:pt idx="26">
                  <c:v>249.41666666666666</c:v>
                </c:pt>
                <c:pt idx="27">
                  <c:v>241.41666666666666</c:v>
                </c:pt>
                <c:pt idx="28">
                  <c:v>240.41666666666666</c:v>
                </c:pt>
                <c:pt idx="29">
                  <c:v>233</c:v>
                </c:pt>
                <c:pt idx="30">
                  <c:v>234.33333333333334</c:v>
                </c:pt>
                <c:pt idx="31">
                  <c:v>249.58333333333334</c:v>
                </c:pt>
                <c:pt idx="32">
                  <c:v>264.83333333333331</c:v>
                </c:pt>
                <c:pt idx="33">
                  <c:v>282.83333333333331</c:v>
                </c:pt>
                <c:pt idx="34">
                  <c:v>290.16666666666669</c:v>
                </c:pt>
                <c:pt idx="35">
                  <c:v>295.83333333333331</c:v>
                </c:pt>
                <c:pt idx="36">
                  <c:v>295.33333333333331</c:v>
                </c:pt>
                <c:pt idx="37">
                  <c:v>303</c:v>
                </c:pt>
                <c:pt idx="38">
                  <c:v>286.41666666666669</c:v>
                </c:pt>
                <c:pt idx="39">
                  <c:v>267.08333333333331</c:v>
                </c:pt>
                <c:pt idx="40">
                  <c:v>232.75</c:v>
                </c:pt>
                <c:pt idx="41">
                  <c:v>228.41666666666666</c:v>
                </c:pt>
                <c:pt idx="42">
                  <c:v>243.58333333333334</c:v>
                </c:pt>
                <c:pt idx="43">
                  <c:v>256.16666666666669</c:v>
                </c:pt>
                <c:pt idx="44">
                  <c:v>269.75</c:v>
                </c:pt>
                <c:pt idx="45">
                  <c:v>298.75</c:v>
                </c:pt>
                <c:pt idx="46">
                  <c:v>311.08333333333331</c:v>
                </c:pt>
                <c:pt idx="47">
                  <c:v>312.83333333333331</c:v>
                </c:pt>
                <c:pt idx="48">
                  <c:v>324.83333333333331</c:v>
                </c:pt>
                <c:pt idx="49">
                  <c:v>337.91666666666669</c:v>
                </c:pt>
                <c:pt idx="50">
                  <c:v>329.83333333333331</c:v>
                </c:pt>
                <c:pt idx="51">
                  <c:v>355.08333333333331</c:v>
                </c:pt>
                <c:pt idx="52">
                  <c:v>354.25</c:v>
                </c:pt>
                <c:pt idx="53">
                  <c:v>363.66666666666669</c:v>
                </c:pt>
                <c:pt idx="54">
                  <c:v>374.33333333333331</c:v>
                </c:pt>
                <c:pt idx="55">
                  <c:v>386.33333333333331</c:v>
                </c:pt>
                <c:pt idx="56">
                  <c:v>401.83333333333331</c:v>
                </c:pt>
                <c:pt idx="57">
                  <c:v>407.66666666666669</c:v>
                </c:pt>
                <c:pt idx="58">
                  <c:v>416.5</c:v>
                </c:pt>
                <c:pt idx="59">
                  <c:v>422</c:v>
                </c:pt>
                <c:pt idx="60">
                  <c:v>437.5</c:v>
                </c:pt>
                <c:pt idx="61">
                  <c:v>459</c:v>
                </c:pt>
                <c:pt idx="62">
                  <c:v>484.33333333333331</c:v>
                </c:pt>
                <c:pt idx="63">
                  <c:v>492.08333333333331</c:v>
                </c:pt>
                <c:pt idx="64">
                  <c:v>515.16666666666663</c:v>
                </c:pt>
                <c:pt idx="65">
                  <c:v>543.75</c:v>
                </c:pt>
                <c:pt idx="66">
                  <c:v>551.16666666666663</c:v>
                </c:pt>
                <c:pt idx="67">
                  <c:v>574.25</c:v>
                </c:pt>
                <c:pt idx="68">
                  <c:v>596.91666666666663</c:v>
                </c:pt>
                <c:pt idx="69">
                  <c:v>613.5</c:v>
                </c:pt>
                <c:pt idx="70">
                  <c:v>624.33333333333337</c:v>
                </c:pt>
                <c:pt idx="71">
                  <c:v>645.66666666666663</c:v>
                </c:pt>
                <c:pt idx="72">
                  <c:v>686.58333333333337</c:v>
                </c:pt>
                <c:pt idx="73">
                  <c:v>722.91666666666663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48-4551-9949-B9A3F337FEE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Sheet1!$E$3:$E$76</c:f>
              <c:numCache>
                <c:formatCode>General</c:formatCode>
                <c:ptCount val="74"/>
                <c:pt idx="1">
                  <c:v>160.91666666666666</c:v>
                </c:pt>
                <c:pt idx="2">
                  <c:v>156.58333333333334</c:v>
                </c:pt>
                <c:pt idx="3">
                  <c:v>174.66666666666666</c:v>
                </c:pt>
                <c:pt idx="4">
                  <c:v>166.91666666666666</c:v>
                </c:pt>
                <c:pt idx="5">
                  <c:v>183.83333333333334</c:v>
                </c:pt>
                <c:pt idx="6">
                  <c:v>200.41666666666666</c:v>
                </c:pt>
                <c:pt idx="7">
                  <c:v>208.83333333333334</c:v>
                </c:pt>
                <c:pt idx="8">
                  <c:v>218.75</c:v>
                </c:pt>
                <c:pt idx="9">
                  <c:v>222.83333333333334</c:v>
                </c:pt>
                <c:pt idx="10">
                  <c:v>215.66666666666666</c:v>
                </c:pt>
                <c:pt idx="11">
                  <c:v>200.41666666666666</c:v>
                </c:pt>
                <c:pt idx="12">
                  <c:v>189.08333333333334</c:v>
                </c:pt>
                <c:pt idx="13">
                  <c:v>200.75</c:v>
                </c:pt>
                <c:pt idx="14">
                  <c:v>233.08333333333334</c:v>
                </c:pt>
                <c:pt idx="15">
                  <c:v>238.41666666666666</c:v>
                </c:pt>
                <c:pt idx="16">
                  <c:v>241.91666666666666</c:v>
                </c:pt>
                <c:pt idx="17">
                  <c:v>252.91666666666666</c:v>
                </c:pt>
                <c:pt idx="18">
                  <c:v>248.66666666666666</c:v>
                </c:pt>
                <c:pt idx="19">
                  <c:v>245.5</c:v>
                </c:pt>
                <c:pt idx="20">
                  <c:v>245.16666666666666</c:v>
                </c:pt>
                <c:pt idx="21">
                  <c:v>244.33333333333334</c:v>
                </c:pt>
                <c:pt idx="22">
                  <c:v>241.66666666666666</c:v>
                </c:pt>
                <c:pt idx="23">
                  <c:v>253.16666666666666</c:v>
                </c:pt>
                <c:pt idx="24">
                  <c:v>248.66666666666666</c:v>
                </c:pt>
                <c:pt idx="25">
                  <c:v>253.91666666666666</c:v>
                </c:pt>
                <c:pt idx="26">
                  <c:v>266.58333333333331</c:v>
                </c:pt>
                <c:pt idx="27">
                  <c:v>249.41666666666666</c:v>
                </c:pt>
                <c:pt idx="28">
                  <c:v>241.41666666666666</c:v>
                </c:pt>
                <c:pt idx="29">
                  <c:v>240.41666666666666</c:v>
                </c:pt>
                <c:pt idx="30">
                  <c:v>233</c:v>
                </c:pt>
                <c:pt idx="31">
                  <c:v>234.33333333333334</c:v>
                </c:pt>
                <c:pt idx="32">
                  <c:v>249.58333333333334</c:v>
                </c:pt>
                <c:pt idx="33">
                  <c:v>264.83333333333331</c:v>
                </c:pt>
                <c:pt idx="34">
                  <c:v>282.83333333333331</c:v>
                </c:pt>
                <c:pt idx="35">
                  <c:v>290.16666666666669</c:v>
                </c:pt>
                <c:pt idx="36">
                  <c:v>295.83333333333331</c:v>
                </c:pt>
                <c:pt idx="37">
                  <c:v>295.33333333333331</c:v>
                </c:pt>
                <c:pt idx="38">
                  <c:v>303</c:v>
                </c:pt>
                <c:pt idx="39">
                  <c:v>286.41666666666669</c:v>
                </c:pt>
                <c:pt idx="40">
                  <c:v>267.08333333333331</c:v>
                </c:pt>
                <c:pt idx="41">
                  <c:v>232.75</c:v>
                </c:pt>
                <c:pt idx="42">
                  <c:v>228.41666666666666</c:v>
                </c:pt>
                <c:pt idx="43">
                  <c:v>243.58333333333334</c:v>
                </c:pt>
                <c:pt idx="44">
                  <c:v>256.16666666666669</c:v>
                </c:pt>
                <c:pt idx="45">
                  <c:v>269.75</c:v>
                </c:pt>
                <c:pt idx="46">
                  <c:v>298.75</c:v>
                </c:pt>
                <c:pt idx="47">
                  <c:v>311.08333333333331</c:v>
                </c:pt>
                <c:pt idx="48">
                  <c:v>312.83333333333331</c:v>
                </c:pt>
                <c:pt idx="49">
                  <c:v>324.83333333333331</c:v>
                </c:pt>
                <c:pt idx="50">
                  <c:v>337.91666666666669</c:v>
                </c:pt>
                <c:pt idx="51">
                  <c:v>329.83333333333331</c:v>
                </c:pt>
                <c:pt idx="52">
                  <c:v>355.08333333333331</c:v>
                </c:pt>
                <c:pt idx="53">
                  <c:v>354.25</c:v>
                </c:pt>
                <c:pt idx="54">
                  <c:v>363.66666666666669</c:v>
                </c:pt>
                <c:pt idx="55">
                  <c:v>374.33333333333331</c:v>
                </c:pt>
                <c:pt idx="56">
                  <c:v>386.33333333333331</c:v>
                </c:pt>
                <c:pt idx="57">
                  <c:v>401.83333333333331</c:v>
                </c:pt>
                <c:pt idx="58">
                  <c:v>407.66666666666669</c:v>
                </c:pt>
                <c:pt idx="59">
                  <c:v>416.5</c:v>
                </c:pt>
                <c:pt idx="60">
                  <c:v>422</c:v>
                </c:pt>
                <c:pt idx="61">
                  <c:v>437.5</c:v>
                </c:pt>
                <c:pt idx="62">
                  <c:v>459</c:v>
                </c:pt>
                <c:pt idx="63">
                  <c:v>484.33333333333331</c:v>
                </c:pt>
                <c:pt idx="64">
                  <c:v>492.08333333333331</c:v>
                </c:pt>
                <c:pt idx="65">
                  <c:v>515.16666666666663</c:v>
                </c:pt>
                <c:pt idx="66">
                  <c:v>543.75</c:v>
                </c:pt>
                <c:pt idx="67">
                  <c:v>551.16666666666663</c:v>
                </c:pt>
                <c:pt idx="68">
                  <c:v>574.25</c:v>
                </c:pt>
                <c:pt idx="69">
                  <c:v>596.91666666666663</c:v>
                </c:pt>
                <c:pt idx="70">
                  <c:v>613.5</c:v>
                </c:pt>
                <c:pt idx="71">
                  <c:v>624.33333333333337</c:v>
                </c:pt>
                <c:pt idx="72">
                  <c:v>645.66666666666663</c:v>
                </c:pt>
                <c:pt idx="73">
                  <c:v>686.58333333333337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48-4551-9949-B9A3F337FEE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Sheet1!$F$3:$F$76</c:f>
              <c:numCache>
                <c:formatCode>General</c:formatCode>
                <c:ptCount val="74"/>
                <c:pt idx="1">
                  <c:v>-4.3333333333333144</c:v>
                </c:pt>
                <c:pt idx="2">
                  <c:v>18.083333333333314</c:v>
                </c:pt>
                <c:pt idx="3">
                  <c:v>-7.75</c:v>
                </c:pt>
                <c:pt idx="4">
                  <c:v>16.916666666666686</c:v>
                </c:pt>
                <c:pt idx="5">
                  <c:v>16.583333333333314</c:v>
                </c:pt>
                <c:pt idx="6">
                  <c:v>8.4166666666666856</c:v>
                </c:pt>
                <c:pt idx="7">
                  <c:v>9.9166666666666572</c:v>
                </c:pt>
                <c:pt idx="8">
                  <c:v>4.0833333333333428</c:v>
                </c:pt>
                <c:pt idx="9">
                  <c:v>-7.1666666666666856</c:v>
                </c:pt>
                <c:pt idx="10">
                  <c:v>-15.25</c:v>
                </c:pt>
                <c:pt idx="11">
                  <c:v>-11.333333333333314</c:v>
                </c:pt>
                <c:pt idx="12">
                  <c:v>11.666666666666657</c:v>
                </c:pt>
                <c:pt idx="13">
                  <c:v>32.333333333333343</c:v>
                </c:pt>
                <c:pt idx="14">
                  <c:v>5.3333333333333144</c:v>
                </c:pt>
                <c:pt idx="15">
                  <c:v>3.5</c:v>
                </c:pt>
                <c:pt idx="16">
                  <c:v>11</c:v>
                </c:pt>
                <c:pt idx="17">
                  <c:v>-4.25</c:v>
                </c:pt>
                <c:pt idx="18">
                  <c:v>-3.1666666666666572</c:v>
                </c:pt>
                <c:pt idx="19">
                  <c:v>-0.33333333333334281</c:v>
                </c:pt>
                <c:pt idx="20">
                  <c:v>-0.83333333333331439</c:v>
                </c:pt>
                <c:pt idx="21">
                  <c:v>-2.6666666666666856</c:v>
                </c:pt>
                <c:pt idx="22">
                  <c:v>11.5</c:v>
                </c:pt>
                <c:pt idx="23">
                  <c:v>-4.5</c:v>
                </c:pt>
                <c:pt idx="24">
                  <c:v>5.25</c:v>
                </c:pt>
                <c:pt idx="25">
                  <c:v>12.666666666666657</c:v>
                </c:pt>
                <c:pt idx="26">
                  <c:v>-17.166666666666657</c:v>
                </c:pt>
                <c:pt idx="27">
                  <c:v>-8</c:v>
                </c:pt>
                <c:pt idx="28">
                  <c:v>-1</c:v>
                </c:pt>
                <c:pt idx="29">
                  <c:v>-7.4166666666666572</c:v>
                </c:pt>
                <c:pt idx="30">
                  <c:v>1.3333333333333428</c:v>
                </c:pt>
                <c:pt idx="31">
                  <c:v>15.25</c:v>
                </c:pt>
                <c:pt idx="32">
                  <c:v>15.249999999999972</c:v>
                </c:pt>
                <c:pt idx="33">
                  <c:v>18</c:v>
                </c:pt>
                <c:pt idx="34">
                  <c:v>7.3333333333333712</c:v>
                </c:pt>
                <c:pt idx="35">
                  <c:v>5.6666666666666288</c:v>
                </c:pt>
                <c:pt idx="36">
                  <c:v>-0.5</c:v>
                </c:pt>
                <c:pt idx="37">
                  <c:v>7.6666666666666856</c:v>
                </c:pt>
                <c:pt idx="38">
                  <c:v>-16.583333333333314</c:v>
                </c:pt>
                <c:pt idx="39">
                  <c:v>-19.333333333333371</c:v>
                </c:pt>
                <c:pt idx="40">
                  <c:v>-34.333333333333314</c:v>
                </c:pt>
                <c:pt idx="41">
                  <c:v>-4.3333333333333428</c:v>
                </c:pt>
                <c:pt idx="42">
                  <c:v>15.166666666666686</c:v>
                </c:pt>
                <c:pt idx="43">
                  <c:v>12.583333333333343</c:v>
                </c:pt>
                <c:pt idx="44">
                  <c:v>13.583333333333314</c:v>
                </c:pt>
                <c:pt idx="45">
                  <c:v>29</c:v>
                </c:pt>
                <c:pt idx="46">
                  <c:v>12.333333333333314</c:v>
                </c:pt>
                <c:pt idx="47">
                  <c:v>1.75</c:v>
                </c:pt>
                <c:pt idx="48">
                  <c:v>12</c:v>
                </c:pt>
                <c:pt idx="49">
                  <c:v>13.083333333333371</c:v>
                </c:pt>
                <c:pt idx="50">
                  <c:v>-8.0833333333333712</c:v>
                </c:pt>
                <c:pt idx="51">
                  <c:v>25.25</c:v>
                </c:pt>
                <c:pt idx="52">
                  <c:v>-0.83333333333331439</c:v>
                </c:pt>
                <c:pt idx="53">
                  <c:v>9.4166666666666856</c:v>
                </c:pt>
                <c:pt idx="54">
                  <c:v>10.666666666666629</c:v>
                </c:pt>
                <c:pt idx="55">
                  <c:v>12</c:v>
                </c:pt>
                <c:pt idx="56">
                  <c:v>15.5</c:v>
                </c:pt>
                <c:pt idx="57">
                  <c:v>5.8333333333333712</c:v>
                </c:pt>
                <c:pt idx="58">
                  <c:v>8.8333333333333144</c:v>
                </c:pt>
                <c:pt idx="59">
                  <c:v>5.5</c:v>
                </c:pt>
                <c:pt idx="60">
                  <c:v>15.5</c:v>
                </c:pt>
                <c:pt idx="61">
                  <c:v>21.5</c:v>
                </c:pt>
                <c:pt idx="62">
                  <c:v>25.333333333333314</c:v>
                </c:pt>
                <c:pt idx="63">
                  <c:v>7.75</c:v>
                </c:pt>
                <c:pt idx="64">
                  <c:v>23.083333333333314</c:v>
                </c:pt>
                <c:pt idx="65">
                  <c:v>28.583333333333371</c:v>
                </c:pt>
                <c:pt idx="66">
                  <c:v>7.4166666666666288</c:v>
                </c:pt>
                <c:pt idx="67">
                  <c:v>23.083333333333371</c:v>
                </c:pt>
                <c:pt idx="68">
                  <c:v>22.666666666666629</c:v>
                </c:pt>
                <c:pt idx="69">
                  <c:v>16.583333333333371</c:v>
                </c:pt>
                <c:pt idx="70">
                  <c:v>10.833333333333371</c:v>
                </c:pt>
                <c:pt idx="71">
                  <c:v>21.333333333333258</c:v>
                </c:pt>
                <c:pt idx="72">
                  <c:v>40.916666666666742</c:v>
                </c:pt>
                <c:pt idx="73">
                  <c:v>36.333333333333258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E48-4551-9949-B9A3F337FEE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Sheet1!$G$3:$G$76</c:f>
              <c:numCache>
                <c:formatCode>General</c:formatCode>
                <c:ptCount val="74"/>
                <c:pt idx="1">
                  <c:v>4.3333333333333144</c:v>
                </c:pt>
                <c:pt idx="2">
                  <c:v>18.083333333333314</c:v>
                </c:pt>
                <c:pt idx="3">
                  <c:v>7.75</c:v>
                </c:pt>
                <c:pt idx="4">
                  <c:v>16.916666666666686</c:v>
                </c:pt>
                <c:pt idx="5">
                  <c:v>16.583333333333314</c:v>
                </c:pt>
                <c:pt idx="6">
                  <c:v>8.4166666666666856</c:v>
                </c:pt>
                <c:pt idx="7">
                  <c:v>9.9166666666666572</c:v>
                </c:pt>
                <c:pt idx="8">
                  <c:v>4.0833333333333428</c:v>
                </c:pt>
                <c:pt idx="9">
                  <c:v>7.1666666666666856</c:v>
                </c:pt>
                <c:pt idx="10">
                  <c:v>15.25</c:v>
                </c:pt>
                <c:pt idx="11">
                  <c:v>11.333333333333314</c:v>
                </c:pt>
                <c:pt idx="12">
                  <c:v>11.666666666666657</c:v>
                </c:pt>
                <c:pt idx="13">
                  <c:v>32.333333333333343</c:v>
                </c:pt>
                <c:pt idx="14">
                  <c:v>5.3333333333333144</c:v>
                </c:pt>
                <c:pt idx="15">
                  <c:v>3.5</c:v>
                </c:pt>
                <c:pt idx="16">
                  <c:v>11</c:v>
                </c:pt>
                <c:pt idx="17">
                  <c:v>4.25</c:v>
                </c:pt>
                <c:pt idx="18">
                  <c:v>3.1666666666666572</c:v>
                </c:pt>
                <c:pt idx="19">
                  <c:v>0.33333333333334281</c:v>
                </c:pt>
                <c:pt idx="20">
                  <c:v>0.83333333333331439</c:v>
                </c:pt>
                <c:pt idx="21">
                  <c:v>2.6666666666666856</c:v>
                </c:pt>
                <c:pt idx="22">
                  <c:v>11.5</c:v>
                </c:pt>
                <c:pt idx="23">
                  <c:v>4.5</c:v>
                </c:pt>
                <c:pt idx="24">
                  <c:v>5.25</c:v>
                </c:pt>
                <c:pt idx="25">
                  <c:v>12.666666666666657</c:v>
                </c:pt>
                <c:pt idx="26">
                  <c:v>17.166666666666657</c:v>
                </c:pt>
                <c:pt idx="27">
                  <c:v>8</c:v>
                </c:pt>
                <c:pt idx="28">
                  <c:v>1</c:v>
                </c:pt>
                <c:pt idx="29">
                  <c:v>7.4166666666666572</c:v>
                </c:pt>
                <c:pt idx="30">
                  <c:v>1.3333333333333428</c:v>
                </c:pt>
                <c:pt idx="31">
                  <c:v>15.25</c:v>
                </c:pt>
                <c:pt idx="32">
                  <c:v>15.249999999999972</c:v>
                </c:pt>
                <c:pt idx="33">
                  <c:v>18</c:v>
                </c:pt>
                <c:pt idx="34">
                  <c:v>7.3333333333333712</c:v>
                </c:pt>
                <c:pt idx="35">
                  <c:v>5.6666666666666288</c:v>
                </c:pt>
                <c:pt idx="36">
                  <c:v>0.5</c:v>
                </c:pt>
                <c:pt idx="37">
                  <c:v>7.6666666666666856</c:v>
                </c:pt>
                <c:pt idx="38">
                  <c:v>16.583333333333314</c:v>
                </c:pt>
                <c:pt idx="39">
                  <c:v>19.333333333333371</c:v>
                </c:pt>
                <c:pt idx="40">
                  <c:v>34.333333333333314</c:v>
                </c:pt>
                <c:pt idx="41">
                  <c:v>4.3333333333333428</c:v>
                </c:pt>
                <c:pt idx="42">
                  <c:v>15.166666666666686</c:v>
                </c:pt>
                <c:pt idx="43">
                  <c:v>12.583333333333343</c:v>
                </c:pt>
                <c:pt idx="44">
                  <c:v>13.583333333333314</c:v>
                </c:pt>
                <c:pt idx="45">
                  <c:v>29</c:v>
                </c:pt>
                <c:pt idx="46">
                  <c:v>12.333333333333314</c:v>
                </c:pt>
                <c:pt idx="47">
                  <c:v>1.75</c:v>
                </c:pt>
                <c:pt idx="48">
                  <c:v>12</c:v>
                </c:pt>
                <c:pt idx="49">
                  <c:v>13.083333333333371</c:v>
                </c:pt>
                <c:pt idx="50">
                  <c:v>8.0833333333333712</c:v>
                </c:pt>
                <c:pt idx="51">
                  <c:v>25.25</c:v>
                </c:pt>
                <c:pt idx="52">
                  <c:v>0.83333333333331439</c:v>
                </c:pt>
                <c:pt idx="53">
                  <c:v>9.4166666666666856</c:v>
                </c:pt>
                <c:pt idx="54">
                  <c:v>10.666666666666629</c:v>
                </c:pt>
                <c:pt idx="55">
                  <c:v>12</c:v>
                </c:pt>
                <c:pt idx="56">
                  <c:v>15.5</c:v>
                </c:pt>
                <c:pt idx="57">
                  <c:v>5.8333333333333712</c:v>
                </c:pt>
                <c:pt idx="58">
                  <c:v>8.8333333333333144</c:v>
                </c:pt>
                <c:pt idx="59">
                  <c:v>5.5</c:v>
                </c:pt>
                <c:pt idx="60">
                  <c:v>15.5</c:v>
                </c:pt>
                <c:pt idx="61">
                  <c:v>21.5</c:v>
                </c:pt>
                <c:pt idx="62">
                  <c:v>25.333333333333314</c:v>
                </c:pt>
                <c:pt idx="63">
                  <c:v>7.75</c:v>
                </c:pt>
                <c:pt idx="64">
                  <c:v>23.083333333333314</c:v>
                </c:pt>
                <c:pt idx="65">
                  <c:v>28.583333333333371</c:v>
                </c:pt>
                <c:pt idx="66">
                  <c:v>7.4166666666666288</c:v>
                </c:pt>
                <c:pt idx="67">
                  <c:v>23.083333333333371</c:v>
                </c:pt>
                <c:pt idx="68">
                  <c:v>22.666666666666629</c:v>
                </c:pt>
                <c:pt idx="69">
                  <c:v>16.583333333333371</c:v>
                </c:pt>
                <c:pt idx="70">
                  <c:v>10.833333333333371</c:v>
                </c:pt>
                <c:pt idx="71">
                  <c:v>21.333333333333258</c:v>
                </c:pt>
                <c:pt idx="72">
                  <c:v>40.916666666666742</c:v>
                </c:pt>
                <c:pt idx="73">
                  <c:v>36.333333333333258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48-4551-9949-B9A3F337FEE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Sheet1!$H$3:$H$76</c:f>
              <c:numCache>
                <c:formatCode>General</c:formatCode>
                <c:ptCount val="74"/>
                <c:pt idx="1">
                  <c:v>18.777777777777615</c:v>
                </c:pt>
                <c:pt idx="2">
                  <c:v>327.00694444444377</c:v>
                </c:pt>
                <c:pt idx="3">
                  <c:v>60.0625</c:v>
                </c:pt>
                <c:pt idx="4">
                  <c:v>286.17361111111177</c:v>
                </c:pt>
                <c:pt idx="5">
                  <c:v>275.00694444444383</c:v>
                </c:pt>
                <c:pt idx="6">
                  <c:v>70.840277777778098</c:v>
                </c:pt>
                <c:pt idx="7">
                  <c:v>98.340277777777587</c:v>
                </c:pt>
                <c:pt idx="8">
                  <c:v>16.673611111111189</c:v>
                </c:pt>
                <c:pt idx="9">
                  <c:v>51.361111111111384</c:v>
                </c:pt>
                <c:pt idx="10">
                  <c:v>232.5625</c:v>
                </c:pt>
                <c:pt idx="11">
                  <c:v>128.444444444444</c:v>
                </c:pt>
                <c:pt idx="12">
                  <c:v>136.11111111111089</c:v>
                </c:pt>
                <c:pt idx="13">
                  <c:v>1045.444444444445</c:v>
                </c:pt>
                <c:pt idx="14">
                  <c:v>28.444444444444244</c:v>
                </c:pt>
                <c:pt idx="15">
                  <c:v>12.25</c:v>
                </c:pt>
                <c:pt idx="16">
                  <c:v>121</c:v>
                </c:pt>
                <c:pt idx="17">
                  <c:v>18.0625</c:v>
                </c:pt>
                <c:pt idx="18">
                  <c:v>10.027777777777718</c:v>
                </c:pt>
                <c:pt idx="19">
                  <c:v>0.11111111111111743</c:v>
                </c:pt>
                <c:pt idx="20">
                  <c:v>0.69444444444441289</c:v>
                </c:pt>
                <c:pt idx="21">
                  <c:v>7.111111111111212</c:v>
                </c:pt>
                <c:pt idx="22">
                  <c:v>132.25</c:v>
                </c:pt>
                <c:pt idx="23">
                  <c:v>20.25</c:v>
                </c:pt>
                <c:pt idx="24">
                  <c:v>27.5625</c:v>
                </c:pt>
                <c:pt idx="25">
                  <c:v>160.4444444444442</c:v>
                </c:pt>
                <c:pt idx="26">
                  <c:v>294.69444444444412</c:v>
                </c:pt>
                <c:pt idx="27">
                  <c:v>64</c:v>
                </c:pt>
                <c:pt idx="28">
                  <c:v>1</c:v>
                </c:pt>
                <c:pt idx="29">
                  <c:v>55.006944444444301</c:v>
                </c:pt>
                <c:pt idx="30">
                  <c:v>1.777777777777803</c:v>
                </c:pt>
                <c:pt idx="31">
                  <c:v>232.5625</c:v>
                </c:pt>
                <c:pt idx="32">
                  <c:v>232.56249999999915</c:v>
                </c:pt>
                <c:pt idx="33">
                  <c:v>324</c:v>
                </c:pt>
                <c:pt idx="34">
                  <c:v>53.777777777778333</c:v>
                </c:pt>
                <c:pt idx="35">
                  <c:v>32.111111111110681</c:v>
                </c:pt>
                <c:pt idx="36">
                  <c:v>0.25</c:v>
                </c:pt>
                <c:pt idx="37">
                  <c:v>58.77777777777807</c:v>
                </c:pt>
                <c:pt idx="38">
                  <c:v>275.00694444444383</c:v>
                </c:pt>
                <c:pt idx="39">
                  <c:v>373.77777777777925</c:v>
                </c:pt>
                <c:pt idx="40">
                  <c:v>1178.7777777777765</c:v>
                </c:pt>
                <c:pt idx="41">
                  <c:v>18.77777777777786</c:v>
                </c:pt>
                <c:pt idx="42">
                  <c:v>230.02777777777834</c:v>
                </c:pt>
                <c:pt idx="43">
                  <c:v>158.34027777777803</c:v>
                </c:pt>
                <c:pt idx="44">
                  <c:v>184.50694444444392</c:v>
                </c:pt>
                <c:pt idx="45">
                  <c:v>841</c:v>
                </c:pt>
                <c:pt idx="46">
                  <c:v>152.11111111111063</c:v>
                </c:pt>
                <c:pt idx="47">
                  <c:v>3.0625</c:v>
                </c:pt>
                <c:pt idx="48">
                  <c:v>144</c:v>
                </c:pt>
                <c:pt idx="49">
                  <c:v>171.17361111111211</c:v>
                </c:pt>
                <c:pt idx="50">
                  <c:v>65.340277777778397</c:v>
                </c:pt>
                <c:pt idx="51">
                  <c:v>637.5625</c:v>
                </c:pt>
                <c:pt idx="52">
                  <c:v>0.69444444444441289</c:v>
                </c:pt>
                <c:pt idx="53">
                  <c:v>88.67361111111147</c:v>
                </c:pt>
                <c:pt idx="54">
                  <c:v>113.77777777777698</c:v>
                </c:pt>
                <c:pt idx="55">
                  <c:v>144</c:v>
                </c:pt>
                <c:pt idx="56">
                  <c:v>240.25</c:v>
                </c:pt>
                <c:pt idx="57">
                  <c:v>34.027777777778219</c:v>
                </c:pt>
                <c:pt idx="58">
                  <c:v>78.027777777777445</c:v>
                </c:pt>
                <c:pt idx="59">
                  <c:v>30.25</c:v>
                </c:pt>
                <c:pt idx="60">
                  <c:v>240.25</c:v>
                </c:pt>
                <c:pt idx="61">
                  <c:v>462.25</c:v>
                </c:pt>
                <c:pt idx="62">
                  <c:v>641.77777777777681</c:v>
                </c:pt>
                <c:pt idx="63">
                  <c:v>60.0625</c:v>
                </c:pt>
                <c:pt idx="64">
                  <c:v>532.84027777777692</c:v>
                </c:pt>
                <c:pt idx="65">
                  <c:v>817.00694444444662</c:v>
                </c:pt>
                <c:pt idx="66">
                  <c:v>55.006944444443882</c:v>
                </c:pt>
                <c:pt idx="67">
                  <c:v>532.84027777777953</c:v>
                </c:pt>
                <c:pt idx="68">
                  <c:v>513.77777777777601</c:v>
                </c:pt>
                <c:pt idx="69">
                  <c:v>275.00694444444571</c:v>
                </c:pt>
                <c:pt idx="70">
                  <c:v>117.36111111111194</c:v>
                </c:pt>
                <c:pt idx="71">
                  <c:v>455.1111111111079</c:v>
                </c:pt>
                <c:pt idx="72">
                  <c:v>1674.1736111111172</c:v>
                </c:pt>
                <c:pt idx="73">
                  <c:v>1320.1111111111056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48-4551-9949-B9A3F337FEE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Sheet1!$I$3:$I$76</c:f>
              <c:numCache>
                <c:formatCode>General</c:formatCode>
                <c:ptCount val="74"/>
                <c:pt idx="1">
                  <c:v>2.7674294837679494E-2</c:v>
                </c:pt>
                <c:pt idx="2">
                  <c:v>0.10353053435114494</c:v>
                </c:pt>
                <c:pt idx="3">
                  <c:v>4.6430354468297554E-2</c:v>
                </c:pt>
                <c:pt idx="4">
                  <c:v>9.202175883952865E-2</c:v>
                </c:pt>
                <c:pt idx="5">
                  <c:v>8.2744282744282652E-2</c:v>
                </c:pt>
                <c:pt idx="6">
                  <c:v>4.0303272146847653E-2</c:v>
                </c:pt>
                <c:pt idx="7">
                  <c:v>4.5333333333333288E-2</c:v>
                </c:pt>
                <c:pt idx="8">
                  <c:v>1.8324607329842972E-2</c:v>
                </c:pt>
                <c:pt idx="9">
                  <c:v>3.3230293663060365E-2</c:v>
                </c:pt>
                <c:pt idx="10">
                  <c:v>7.6091476091476096E-2</c:v>
                </c:pt>
                <c:pt idx="11">
                  <c:v>5.9938298810048377E-2</c:v>
                </c:pt>
                <c:pt idx="12">
                  <c:v>5.8115400581153956E-2</c:v>
                </c:pt>
                <c:pt idx="13">
                  <c:v>0.13872005720414735</c:v>
                </c:pt>
                <c:pt idx="14">
                  <c:v>2.2369800768961823E-2</c:v>
                </c:pt>
                <c:pt idx="15">
                  <c:v>1.4467791939373063E-2</c:v>
                </c:pt>
                <c:pt idx="16">
                  <c:v>4.3492586490939046E-2</c:v>
                </c:pt>
                <c:pt idx="17">
                  <c:v>1.7091152815013406E-2</c:v>
                </c:pt>
                <c:pt idx="18">
                  <c:v>1.2898845892735874E-2</c:v>
                </c:pt>
                <c:pt idx="19">
                  <c:v>1.3596193065941924E-3</c:v>
                </c:pt>
                <c:pt idx="20">
                  <c:v>3.4106412005456251E-3</c:v>
                </c:pt>
                <c:pt idx="21">
                  <c:v>1.1034482758620769E-2</c:v>
                </c:pt>
                <c:pt idx="22">
                  <c:v>4.5424621461487825E-2</c:v>
                </c:pt>
                <c:pt idx="23">
                  <c:v>1.8096514745308313E-2</c:v>
                </c:pt>
                <c:pt idx="24">
                  <c:v>2.0676074827699377E-2</c:v>
                </c:pt>
                <c:pt idx="25">
                  <c:v>4.7514848390121878E-2</c:v>
                </c:pt>
                <c:pt idx="26">
                  <c:v>6.8827263615101872E-2</c:v>
                </c:pt>
                <c:pt idx="27">
                  <c:v>3.3137728684846393E-2</c:v>
                </c:pt>
                <c:pt idx="28">
                  <c:v>4.1594454072790294E-3</c:v>
                </c:pt>
                <c:pt idx="29">
                  <c:v>3.1831187410586513E-2</c:v>
                </c:pt>
                <c:pt idx="30">
                  <c:v>5.6899004267425722E-3</c:v>
                </c:pt>
                <c:pt idx="31">
                  <c:v>6.1101836393989979E-2</c:v>
                </c:pt>
                <c:pt idx="32">
                  <c:v>5.758338577721827E-2</c:v>
                </c:pt>
                <c:pt idx="33">
                  <c:v>6.3641720683559222E-2</c:v>
                </c:pt>
                <c:pt idx="34">
                  <c:v>2.5272831705916269E-2</c:v>
                </c:pt>
                <c:pt idx="35">
                  <c:v>1.9154929577464661E-2</c:v>
                </c:pt>
                <c:pt idx="36">
                  <c:v>1.6930022573363433E-3</c:v>
                </c:pt>
                <c:pt idx="37">
                  <c:v>2.5302530253025365E-2</c:v>
                </c:pt>
                <c:pt idx="38">
                  <c:v>5.7899330811754364E-2</c:v>
                </c:pt>
                <c:pt idx="39">
                  <c:v>7.2386895475819182E-2</c:v>
                </c:pt>
                <c:pt idx="40">
                  <c:v>0.14751163623344066</c:v>
                </c:pt>
                <c:pt idx="41">
                  <c:v>1.8971178402043092E-2</c:v>
                </c:pt>
                <c:pt idx="42">
                  <c:v>6.2264796442011709E-2</c:v>
                </c:pt>
                <c:pt idx="43">
                  <c:v>4.9121665582303221E-2</c:v>
                </c:pt>
                <c:pt idx="44">
                  <c:v>5.0355267222737032E-2</c:v>
                </c:pt>
                <c:pt idx="45">
                  <c:v>9.7071129707112971E-2</c:v>
                </c:pt>
                <c:pt idx="46">
                  <c:v>3.9646396999732061E-2</c:v>
                </c:pt>
                <c:pt idx="47">
                  <c:v>5.5940330314331382E-3</c:v>
                </c:pt>
                <c:pt idx="48">
                  <c:v>3.6942021549512573E-2</c:v>
                </c:pt>
                <c:pt idx="49">
                  <c:v>3.8717632552404548E-2</c:v>
                </c:pt>
                <c:pt idx="50">
                  <c:v>2.4507326932794456E-2</c:v>
                </c:pt>
                <c:pt idx="51">
                  <c:v>7.1110068059141052E-2</c:v>
                </c:pt>
                <c:pt idx="52">
                  <c:v>2.3523876734885376E-3</c:v>
                </c:pt>
                <c:pt idx="53">
                  <c:v>2.5893675527039466E-2</c:v>
                </c:pt>
                <c:pt idx="54">
                  <c:v>2.8495102404274164E-2</c:v>
                </c:pt>
                <c:pt idx="55">
                  <c:v>3.1061259706643661E-2</c:v>
                </c:pt>
                <c:pt idx="56">
                  <c:v>3.8573206138531733E-2</c:v>
                </c:pt>
                <c:pt idx="57">
                  <c:v>1.4309076042518489E-2</c:v>
                </c:pt>
                <c:pt idx="58">
                  <c:v>2.1208483393357298E-2</c:v>
                </c:pt>
                <c:pt idx="59">
                  <c:v>1.3033175355450236E-2</c:v>
                </c:pt>
                <c:pt idx="60">
                  <c:v>3.5428571428571427E-2</c:v>
                </c:pt>
                <c:pt idx="61">
                  <c:v>4.6840958605664486E-2</c:v>
                </c:pt>
                <c:pt idx="62">
                  <c:v>5.2305574673090119E-2</c:v>
                </c:pt>
                <c:pt idx="63">
                  <c:v>1.5749364944961899E-2</c:v>
                </c:pt>
                <c:pt idx="64">
                  <c:v>4.4807505661598156E-2</c:v>
                </c:pt>
                <c:pt idx="65">
                  <c:v>5.2567049808429189E-2</c:v>
                </c:pt>
                <c:pt idx="66">
                  <c:v>1.3456304807982999E-2</c:v>
                </c:pt>
                <c:pt idx="67">
                  <c:v>4.019735887389355E-2</c:v>
                </c:pt>
                <c:pt idx="68">
                  <c:v>3.7972916375820127E-2</c:v>
                </c:pt>
                <c:pt idx="69">
                  <c:v>2.7030698179842497E-2</c:v>
                </c:pt>
                <c:pt idx="70">
                  <c:v>1.7351841964762475E-2</c:v>
                </c:pt>
                <c:pt idx="71">
                  <c:v>3.3040784718636952E-2</c:v>
                </c:pt>
                <c:pt idx="72">
                  <c:v>5.9594610996480266E-2</c:v>
                </c:pt>
                <c:pt idx="73">
                  <c:v>5.0259365994236208E-2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48-4551-9949-B9A3F337F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8660704"/>
        <c:axId val="1948661536"/>
      </c:lineChart>
      <c:catAx>
        <c:axId val="194866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61536"/>
        <c:crosses val="autoZero"/>
        <c:auto val="1"/>
        <c:lblAlgn val="ctr"/>
        <c:lblOffset val="100"/>
        <c:noMultiLvlLbl val="0"/>
      </c:catAx>
      <c:valAx>
        <c:axId val="194866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6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581024</xdr:colOff>
      <xdr:row>2</xdr:row>
      <xdr:rowOff>157162</xdr:rowOff>
    </xdr:from>
    <xdr:to>
      <xdr:col>30</xdr:col>
      <xdr:colOff>333375</xdr:colOff>
      <xdr:row>20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35748E-B3F0-4341-9EA7-C68EDEAB0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81</xdr:row>
      <xdr:rowOff>4762</xdr:rowOff>
    </xdr:from>
    <xdr:to>
      <xdr:col>7</xdr:col>
      <xdr:colOff>342900</xdr:colOff>
      <xdr:row>95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6F9C58-B678-4220-AA45-8B3CE670A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4967-01AD-4A71-9174-F7DC86AA5525}">
  <dimension ref="A1:S80"/>
  <sheetViews>
    <sheetView tabSelected="1" workbookViewId="0">
      <selection activeCell="K86" sqref="K86"/>
    </sheetView>
  </sheetViews>
  <sheetFormatPr defaultRowHeight="15" x14ac:dyDescent="0.25"/>
  <cols>
    <col min="10" max="10" width="11.42578125" customWidth="1"/>
  </cols>
  <sheetData>
    <row r="1" spans="1:19" x14ac:dyDescent="0.25">
      <c r="F1" t="s">
        <v>2</v>
      </c>
    </row>
    <row r="2" spans="1:19" x14ac:dyDescent="0.25">
      <c r="A2" s="1" t="s">
        <v>14</v>
      </c>
      <c r="B2" s="1" t="s">
        <v>0</v>
      </c>
      <c r="C2" s="1" t="s">
        <v>1</v>
      </c>
      <c r="D2" s="1" t="s">
        <v>3</v>
      </c>
      <c r="E2" s="1"/>
      <c r="F2" s="1" t="s">
        <v>4</v>
      </c>
      <c r="G2" s="1" t="s">
        <v>5</v>
      </c>
      <c r="H2" s="1" t="s">
        <v>6</v>
      </c>
      <c r="I2" s="1"/>
      <c r="J2" s="1" t="s">
        <v>7</v>
      </c>
      <c r="K2" s="1" t="s">
        <v>4</v>
      </c>
      <c r="L2" s="1" t="s">
        <v>5</v>
      </c>
      <c r="M2" s="1" t="s">
        <v>6</v>
      </c>
      <c r="N2" s="1" t="s">
        <v>8</v>
      </c>
      <c r="O2" s="1" t="s">
        <v>9</v>
      </c>
      <c r="P2" s="1" t="s">
        <v>4</v>
      </c>
      <c r="Q2" s="1" t="s">
        <v>5</v>
      </c>
      <c r="R2" s="1" t="s">
        <v>6</v>
      </c>
      <c r="S2" s="1" t="s">
        <v>10</v>
      </c>
    </row>
    <row r="3" spans="1:19" x14ac:dyDescent="0.25">
      <c r="A3" s="1">
        <v>1940</v>
      </c>
      <c r="B3" s="1">
        <v>1931</v>
      </c>
      <c r="C3" s="1">
        <v>12</v>
      </c>
      <c r="D3" s="1">
        <f>B3/C3</f>
        <v>160.91666666666666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>
        <v>1950</v>
      </c>
      <c r="B4" s="1">
        <v>1879</v>
      </c>
      <c r="C4" s="1">
        <v>12</v>
      </c>
      <c r="D4" s="1">
        <f>B4/C4</f>
        <v>156.58333333333334</v>
      </c>
      <c r="E4" s="1">
        <f>D3</f>
        <v>160.91666666666666</v>
      </c>
      <c r="F4" s="1">
        <f>D4-E4</f>
        <v>-4.3333333333333144</v>
      </c>
      <c r="G4" s="1">
        <f>ABS(F4)</f>
        <v>4.3333333333333144</v>
      </c>
      <c r="H4" s="1">
        <f>F4^2</f>
        <v>18.777777777777615</v>
      </c>
      <c r="I4" s="1">
        <f>ABS(F4/D4)</f>
        <v>2.7674294837679494E-2</v>
      </c>
      <c r="J4" s="1">
        <f>AVERAGE(D3)</f>
        <v>160.91666666666666</v>
      </c>
      <c r="K4" s="1">
        <f>E4-J4</f>
        <v>0</v>
      </c>
      <c r="L4" s="1">
        <f>ABS(K4)</f>
        <v>0</v>
      </c>
      <c r="M4" s="1">
        <f>K4^2</f>
        <v>0</v>
      </c>
      <c r="N4" s="1">
        <f>ABS(K4/I4)</f>
        <v>0</v>
      </c>
      <c r="O4" s="1"/>
      <c r="P4" s="1">
        <f>D4-O4</f>
        <v>156.58333333333334</v>
      </c>
      <c r="Q4" s="1">
        <f>ABS(P4)</f>
        <v>156.58333333333334</v>
      </c>
      <c r="R4" s="1">
        <f>P4^2</f>
        <v>24518.340277777781</v>
      </c>
      <c r="S4" s="1"/>
    </row>
    <row r="5" spans="1:19" x14ac:dyDescent="0.25">
      <c r="A5" s="1">
        <v>1953</v>
      </c>
      <c r="B5" s="1">
        <v>2096</v>
      </c>
      <c r="C5" s="1">
        <v>12</v>
      </c>
      <c r="D5" s="1">
        <f t="shared" ref="D5:D68" si="0">B5/C5</f>
        <v>174.66666666666666</v>
      </c>
      <c r="E5" s="1">
        <f>D4</f>
        <v>156.58333333333334</v>
      </c>
      <c r="F5" s="1">
        <f>D5-E5</f>
        <v>18.083333333333314</v>
      </c>
      <c r="G5" s="1">
        <f t="shared" ref="G5:G68" si="1">ABS(F5)</f>
        <v>18.083333333333314</v>
      </c>
      <c r="H5" s="1">
        <f t="shared" ref="H5:H68" si="2">F5^2</f>
        <v>327.00694444444377</v>
      </c>
      <c r="I5" s="1">
        <f t="shared" ref="I5:I68" si="3">ABS(F5/D5)</f>
        <v>0.10353053435114494</v>
      </c>
      <c r="J5" s="1">
        <f>AVERAGE(D3:D4)</f>
        <v>158.75</v>
      </c>
      <c r="K5" s="1">
        <f>E5-J5</f>
        <v>-2.1666666666666572</v>
      </c>
      <c r="L5" s="1">
        <f>ABS(K5)</f>
        <v>2.1666666666666572</v>
      </c>
      <c r="M5" s="1">
        <f>K5^2</f>
        <v>4.6944444444444038</v>
      </c>
      <c r="N5" s="1">
        <f>ABS(K5/I5)</f>
        <v>20.927803379416211</v>
      </c>
      <c r="O5" s="1"/>
      <c r="P5" s="1">
        <f>D4-O5</f>
        <v>156.58333333333334</v>
      </c>
      <c r="Q5" s="1">
        <f>ABS(P5)</f>
        <v>156.58333333333334</v>
      </c>
      <c r="R5" s="1">
        <f>P5^2</f>
        <v>24518.340277777781</v>
      </c>
      <c r="S5" s="1">
        <f>ABS(P5/N5)</f>
        <v>7.4820720786847001</v>
      </c>
    </row>
    <row r="6" spans="1:19" x14ac:dyDescent="0.25">
      <c r="A6" s="1">
        <v>1955</v>
      </c>
      <c r="B6" s="1">
        <v>2003</v>
      </c>
      <c r="C6" s="1">
        <v>12</v>
      </c>
      <c r="D6" s="1">
        <f t="shared" si="0"/>
        <v>166.91666666666666</v>
      </c>
      <c r="E6" s="1">
        <f t="shared" ref="E6:E69" si="4">D5</f>
        <v>174.66666666666666</v>
      </c>
      <c r="F6" s="1">
        <f t="shared" ref="F6:F69" si="5">D6-E6</f>
        <v>-7.75</v>
      </c>
      <c r="G6" s="1">
        <f t="shared" si="1"/>
        <v>7.75</v>
      </c>
      <c r="H6" s="1">
        <f t="shared" si="2"/>
        <v>60.0625</v>
      </c>
      <c r="I6" s="1">
        <f t="shared" si="3"/>
        <v>4.6430354468297554E-2</v>
      </c>
      <c r="J6" s="1">
        <f>AVERAGE(D3:D5)</f>
        <v>164.05555555555554</v>
      </c>
      <c r="K6" s="1">
        <f t="shared" ref="K6:K69" si="6">E6-J6</f>
        <v>10.611111111111114</v>
      </c>
      <c r="L6" s="1">
        <f>ABS(K6)</f>
        <v>10.611111111111114</v>
      </c>
      <c r="M6" s="1">
        <f t="shared" ref="M6:M69" si="7">K6^2</f>
        <v>112.59567901234574</v>
      </c>
      <c r="N6" s="1">
        <f t="shared" ref="N6:N69" si="8">ABS(K6/I6)</f>
        <v>228.53823178016734</v>
      </c>
      <c r="O6" s="1"/>
      <c r="P6" s="1">
        <f t="shared" ref="P6:P69" si="9">D5-O6</f>
        <v>174.66666666666666</v>
      </c>
      <c r="Q6" s="1">
        <f>ABS(P6)</f>
        <v>174.66666666666666</v>
      </c>
      <c r="R6" s="1">
        <f t="shared" ref="R6:R69" si="10">P6^2</f>
        <v>30508.444444444442</v>
      </c>
      <c r="S6" s="1">
        <f>ABS(P6/N6)</f>
        <v>0.76427766726873014</v>
      </c>
    </row>
    <row r="7" spans="1:19" x14ac:dyDescent="0.25">
      <c r="A7" s="1">
        <v>1956</v>
      </c>
      <c r="B7" s="1">
        <v>2206</v>
      </c>
      <c r="C7" s="1">
        <v>12</v>
      </c>
      <c r="D7" s="1">
        <f t="shared" si="0"/>
        <v>183.83333333333334</v>
      </c>
      <c r="E7" s="1">
        <f t="shared" si="4"/>
        <v>166.91666666666666</v>
      </c>
      <c r="F7" s="1">
        <f t="shared" si="5"/>
        <v>16.916666666666686</v>
      </c>
      <c r="G7" s="1">
        <f t="shared" si="1"/>
        <v>16.916666666666686</v>
      </c>
      <c r="H7" s="1">
        <f t="shared" si="2"/>
        <v>286.17361111111177</v>
      </c>
      <c r="I7" s="1">
        <f t="shared" si="3"/>
        <v>9.202175883952865E-2</v>
      </c>
      <c r="J7" s="1">
        <f>AVERAGE(D3:D6)</f>
        <v>164.77083333333331</v>
      </c>
      <c r="K7" s="1">
        <f t="shared" si="6"/>
        <v>2.1458333333333428</v>
      </c>
      <c r="L7" s="1">
        <f t="shared" ref="L7:L70" si="11">ABS(K7)</f>
        <v>2.1458333333333428</v>
      </c>
      <c r="M7" s="1">
        <f t="shared" si="7"/>
        <v>4.6046006944444855</v>
      </c>
      <c r="N7" s="1">
        <f t="shared" si="8"/>
        <v>23.31876026272586</v>
      </c>
      <c r="O7" s="1"/>
      <c r="P7" s="1">
        <f t="shared" si="9"/>
        <v>166.91666666666666</v>
      </c>
      <c r="Q7" s="1">
        <f>ABS(P7)</f>
        <v>166.91666666666666</v>
      </c>
      <c r="R7" s="1">
        <f t="shared" si="10"/>
        <v>27861.173611111109</v>
      </c>
      <c r="S7" s="1">
        <f t="shared" ref="S7:S70" si="12">ABS(P7/N7)</f>
        <v>7.1580420565271865</v>
      </c>
    </row>
    <row r="8" spans="1:19" x14ac:dyDescent="0.25">
      <c r="A8" s="1">
        <v>1957</v>
      </c>
      <c r="B8" s="1">
        <v>2405</v>
      </c>
      <c r="C8" s="1">
        <v>12</v>
      </c>
      <c r="D8" s="1">
        <f t="shared" si="0"/>
        <v>200.41666666666666</v>
      </c>
      <c r="E8" s="1">
        <f t="shared" si="4"/>
        <v>183.83333333333334</v>
      </c>
      <c r="F8" s="1">
        <f t="shared" si="5"/>
        <v>16.583333333333314</v>
      </c>
      <c r="G8" s="1">
        <f t="shared" si="1"/>
        <v>16.583333333333314</v>
      </c>
      <c r="H8" s="1">
        <f t="shared" si="2"/>
        <v>275.00694444444383</v>
      </c>
      <c r="I8" s="1">
        <f t="shared" si="3"/>
        <v>8.2744282744282652E-2</v>
      </c>
      <c r="J8" s="1">
        <f>AVERAGE(D3:D7)</f>
        <v>168.58333333333331</v>
      </c>
      <c r="K8" s="1">
        <f t="shared" si="6"/>
        <v>15.250000000000028</v>
      </c>
      <c r="L8" s="1">
        <f t="shared" si="11"/>
        <v>15.250000000000028</v>
      </c>
      <c r="M8" s="1">
        <f t="shared" si="7"/>
        <v>232.56250000000085</v>
      </c>
      <c r="N8" s="1">
        <f t="shared" si="8"/>
        <v>184.30276381909601</v>
      </c>
      <c r="O8" s="1"/>
      <c r="P8" s="1">
        <f t="shared" si="9"/>
        <v>183.83333333333334</v>
      </c>
      <c r="Q8" s="1">
        <f>ABS(P8)</f>
        <v>183.83333333333334</v>
      </c>
      <c r="R8" s="1">
        <f t="shared" si="10"/>
        <v>33794.694444444445</v>
      </c>
      <c r="S8" s="1">
        <f t="shared" si="12"/>
        <v>0.99745293843654215</v>
      </c>
    </row>
    <row r="9" spans="1:19" x14ac:dyDescent="0.25">
      <c r="A9" s="1">
        <v>1958</v>
      </c>
      <c r="B9" s="1">
        <v>2506</v>
      </c>
      <c r="C9" s="1">
        <v>12</v>
      </c>
      <c r="D9" s="1">
        <f t="shared" si="0"/>
        <v>208.83333333333334</v>
      </c>
      <c r="E9" s="1">
        <f t="shared" si="4"/>
        <v>200.41666666666666</v>
      </c>
      <c r="F9" s="1">
        <f t="shared" si="5"/>
        <v>8.4166666666666856</v>
      </c>
      <c r="G9" s="1">
        <f t="shared" si="1"/>
        <v>8.4166666666666856</v>
      </c>
      <c r="H9" s="1">
        <f t="shared" si="2"/>
        <v>70.840277777778098</v>
      </c>
      <c r="I9" s="1">
        <f t="shared" si="3"/>
        <v>4.0303272146847653E-2</v>
      </c>
      <c r="J9" s="1">
        <f>AVERAGE(D3:D8)</f>
        <v>173.88888888888889</v>
      </c>
      <c r="K9" s="1">
        <f t="shared" si="6"/>
        <v>26.527777777777771</v>
      </c>
      <c r="L9" s="1">
        <f t="shared" si="11"/>
        <v>26.527777777777771</v>
      </c>
      <c r="M9" s="1">
        <f t="shared" si="7"/>
        <v>703.72299382716017</v>
      </c>
      <c r="N9" s="1">
        <f t="shared" si="8"/>
        <v>658.20407040703913</v>
      </c>
      <c r="O9" s="1"/>
      <c r="P9" s="1">
        <f t="shared" si="9"/>
        <v>200.41666666666666</v>
      </c>
      <c r="Q9" s="1">
        <f t="shared" ref="Q9:Q72" si="13">ABS(P9)</f>
        <v>200.41666666666666</v>
      </c>
      <c r="R9" s="1">
        <f t="shared" si="10"/>
        <v>40166.840277777774</v>
      </c>
      <c r="S9" s="1">
        <f t="shared" si="12"/>
        <v>0.30449016600995377</v>
      </c>
    </row>
    <row r="10" spans="1:19" x14ac:dyDescent="0.25">
      <c r="A10" s="1">
        <v>1959</v>
      </c>
      <c r="B10" s="1">
        <v>2625</v>
      </c>
      <c r="C10" s="1">
        <v>12</v>
      </c>
      <c r="D10" s="1">
        <f t="shared" si="0"/>
        <v>218.75</v>
      </c>
      <c r="E10" s="1">
        <f t="shared" si="4"/>
        <v>208.83333333333334</v>
      </c>
      <c r="F10" s="1">
        <f t="shared" si="5"/>
        <v>9.9166666666666572</v>
      </c>
      <c r="G10" s="1">
        <f t="shared" si="1"/>
        <v>9.9166666666666572</v>
      </c>
      <c r="H10" s="1">
        <f t="shared" si="2"/>
        <v>98.340277777777587</v>
      </c>
      <c r="I10" s="1">
        <f t="shared" si="3"/>
        <v>4.5333333333333288E-2</v>
      </c>
      <c r="J10" s="1">
        <f>AVERAGE(D3:D9)</f>
        <v>178.88095238095235</v>
      </c>
      <c r="K10" s="1">
        <f t="shared" si="6"/>
        <v>29.952380952380992</v>
      </c>
      <c r="L10" s="1">
        <f t="shared" si="11"/>
        <v>29.952380952380992</v>
      </c>
      <c r="M10" s="1">
        <f t="shared" si="7"/>
        <v>897.14512471655564</v>
      </c>
      <c r="N10" s="1">
        <f t="shared" si="8"/>
        <v>660.71428571428726</v>
      </c>
      <c r="O10" s="1"/>
      <c r="P10" s="1">
        <f t="shared" si="9"/>
        <v>208.83333333333334</v>
      </c>
      <c r="Q10" s="1">
        <f t="shared" si="13"/>
        <v>208.83333333333334</v>
      </c>
      <c r="R10" s="1">
        <f t="shared" si="10"/>
        <v>43611.361111111117</v>
      </c>
      <c r="S10" s="1">
        <f t="shared" si="12"/>
        <v>0.31607207207207133</v>
      </c>
    </row>
    <row r="11" spans="1:19" x14ac:dyDescent="0.25">
      <c r="A11" s="1">
        <v>1960</v>
      </c>
      <c r="B11" s="1">
        <v>2674</v>
      </c>
      <c r="C11" s="1">
        <v>12</v>
      </c>
      <c r="D11" s="1">
        <f t="shared" si="0"/>
        <v>222.83333333333334</v>
      </c>
      <c r="E11" s="1">
        <f t="shared" si="4"/>
        <v>218.75</v>
      </c>
      <c r="F11" s="1">
        <f t="shared" si="5"/>
        <v>4.0833333333333428</v>
      </c>
      <c r="G11" s="1">
        <f t="shared" si="1"/>
        <v>4.0833333333333428</v>
      </c>
      <c r="H11" s="1">
        <f t="shared" si="2"/>
        <v>16.673611111111189</v>
      </c>
      <c r="I11" s="1">
        <f t="shared" si="3"/>
        <v>1.8324607329842972E-2</v>
      </c>
      <c r="J11" s="1">
        <f>AVERAGE(D3:D10)</f>
        <v>183.86458333333331</v>
      </c>
      <c r="K11" s="1">
        <f t="shared" si="6"/>
        <v>34.885416666666686</v>
      </c>
      <c r="L11" s="1">
        <f t="shared" si="11"/>
        <v>34.885416666666686</v>
      </c>
      <c r="M11" s="1">
        <f t="shared" si="7"/>
        <v>1216.9922960069457</v>
      </c>
      <c r="N11" s="1">
        <f t="shared" si="8"/>
        <v>1903.7470238095207</v>
      </c>
      <c r="O11" s="1"/>
      <c r="P11" s="1">
        <f t="shared" si="9"/>
        <v>218.75</v>
      </c>
      <c r="Q11" s="1">
        <f t="shared" si="13"/>
        <v>218.75</v>
      </c>
      <c r="R11" s="1">
        <f t="shared" si="10"/>
        <v>47851.5625</v>
      </c>
      <c r="S11" s="1">
        <f t="shared" si="12"/>
        <v>0.11490497280582329</v>
      </c>
    </row>
    <row r="12" spans="1:19" x14ac:dyDescent="0.25">
      <c r="A12" s="1">
        <v>1961</v>
      </c>
      <c r="B12" s="1">
        <v>2588</v>
      </c>
      <c r="C12" s="1">
        <v>12</v>
      </c>
      <c r="D12" s="1">
        <f t="shared" si="0"/>
        <v>215.66666666666666</v>
      </c>
      <c r="E12" s="1">
        <f t="shared" si="4"/>
        <v>222.83333333333334</v>
      </c>
      <c r="F12" s="1">
        <f t="shared" si="5"/>
        <v>-7.1666666666666856</v>
      </c>
      <c r="G12" s="1">
        <f t="shared" si="1"/>
        <v>7.1666666666666856</v>
      </c>
      <c r="H12" s="1">
        <f t="shared" si="2"/>
        <v>51.361111111111384</v>
      </c>
      <c r="I12" s="1">
        <f t="shared" si="3"/>
        <v>3.3230293663060365E-2</v>
      </c>
      <c r="J12" s="1">
        <f>AVERAGE(D3:D11)</f>
        <v>188.19444444444443</v>
      </c>
      <c r="K12" s="1">
        <f t="shared" si="6"/>
        <v>34.638888888888914</v>
      </c>
      <c r="L12" s="1">
        <f t="shared" si="11"/>
        <v>34.638888888888914</v>
      </c>
      <c r="M12" s="1">
        <f t="shared" si="7"/>
        <v>1199.8526234567919</v>
      </c>
      <c r="N12" s="1">
        <f t="shared" si="8"/>
        <v>1042.3888888888869</v>
      </c>
      <c r="O12" s="1"/>
      <c r="P12" s="1">
        <f t="shared" si="9"/>
        <v>222.83333333333334</v>
      </c>
      <c r="Q12" s="1">
        <f t="shared" si="13"/>
        <v>222.83333333333334</v>
      </c>
      <c r="R12" s="1">
        <f t="shared" si="10"/>
        <v>49654.694444444445</v>
      </c>
      <c r="S12" s="1">
        <f t="shared" si="12"/>
        <v>0.21377178489580601</v>
      </c>
    </row>
    <row r="13" spans="1:19" x14ac:dyDescent="0.25">
      <c r="A13" s="1">
        <v>1962</v>
      </c>
      <c r="B13" s="1">
        <v>2405</v>
      </c>
      <c r="C13" s="1">
        <v>12</v>
      </c>
      <c r="D13" s="1">
        <f t="shared" si="0"/>
        <v>200.41666666666666</v>
      </c>
      <c r="E13" s="1">
        <f t="shared" si="4"/>
        <v>215.66666666666666</v>
      </c>
      <c r="F13" s="1">
        <f t="shared" si="5"/>
        <v>-15.25</v>
      </c>
      <c r="G13" s="1">
        <f t="shared" si="1"/>
        <v>15.25</v>
      </c>
      <c r="H13" s="1">
        <f t="shared" si="2"/>
        <v>232.5625</v>
      </c>
      <c r="I13" s="1">
        <f t="shared" si="3"/>
        <v>7.6091476091476096E-2</v>
      </c>
      <c r="J13" s="1">
        <f>AVERAGE(D3:D12)</f>
        <v>190.94166666666666</v>
      </c>
      <c r="K13" s="1">
        <f t="shared" si="6"/>
        <v>24.724999999999994</v>
      </c>
      <c r="L13" s="1">
        <f t="shared" si="11"/>
        <v>24.724999999999994</v>
      </c>
      <c r="M13" s="1">
        <f t="shared" si="7"/>
        <v>611.32562499999972</v>
      </c>
      <c r="N13" s="1">
        <f t="shared" si="8"/>
        <v>324.93784153005453</v>
      </c>
      <c r="O13" s="1"/>
      <c r="P13" s="1">
        <f t="shared" si="9"/>
        <v>215.66666666666666</v>
      </c>
      <c r="Q13" s="1">
        <f t="shared" si="13"/>
        <v>215.66666666666666</v>
      </c>
      <c r="R13" s="1">
        <f t="shared" si="10"/>
        <v>46512.111111111109</v>
      </c>
      <c r="S13" s="1">
        <f t="shared" si="12"/>
        <v>0.66371668393913108</v>
      </c>
    </row>
    <row r="14" spans="1:19" x14ac:dyDescent="0.25">
      <c r="A14" s="1">
        <v>1963</v>
      </c>
      <c r="B14" s="1">
        <v>2269</v>
      </c>
      <c r="C14" s="1">
        <v>12</v>
      </c>
      <c r="D14" s="1">
        <f t="shared" si="0"/>
        <v>189.08333333333334</v>
      </c>
      <c r="E14" s="1">
        <f t="shared" si="4"/>
        <v>200.41666666666666</v>
      </c>
      <c r="F14" s="1">
        <f t="shared" si="5"/>
        <v>-11.333333333333314</v>
      </c>
      <c r="G14" s="1">
        <f t="shared" si="1"/>
        <v>11.333333333333314</v>
      </c>
      <c r="H14" s="1">
        <f t="shared" si="2"/>
        <v>128.444444444444</v>
      </c>
      <c r="I14" s="1">
        <f t="shared" si="3"/>
        <v>5.9938298810048377E-2</v>
      </c>
      <c r="J14" s="1">
        <f>AVERAGE(D3:D13)</f>
        <v>191.80303030303028</v>
      </c>
      <c r="K14" s="1">
        <f t="shared" si="6"/>
        <v>8.613636363636374</v>
      </c>
      <c r="L14" s="1">
        <f t="shared" si="11"/>
        <v>8.613636363636374</v>
      </c>
      <c r="M14" s="1">
        <f t="shared" si="7"/>
        <v>74.194731404958858</v>
      </c>
      <c r="N14" s="1">
        <f t="shared" si="8"/>
        <v>143.70838903743356</v>
      </c>
      <c r="O14" s="1"/>
      <c r="P14" s="1">
        <f t="shared" si="9"/>
        <v>200.41666666666666</v>
      </c>
      <c r="Q14" s="1">
        <f t="shared" si="13"/>
        <v>200.41666666666666</v>
      </c>
      <c r="R14" s="1">
        <f t="shared" si="10"/>
        <v>40166.840277777774</v>
      </c>
      <c r="S14" s="1">
        <f t="shared" si="12"/>
        <v>1.39460659192597</v>
      </c>
    </row>
    <row r="15" spans="1:19" x14ac:dyDescent="0.25">
      <c r="A15" s="1">
        <v>1964</v>
      </c>
      <c r="B15" s="1">
        <v>2409</v>
      </c>
      <c r="C15" s="1">
        <v>12</v>
      </c>
      <c r="D15" s="1">
        <f t="shared" si="0"/>
        <v>200.75</v>
      </c>
      <c r="E15" s="1">
        <f t="shared" si="4"/>
        <v>189.08333333333334</v>
      </c>
      <c r="F15" s="1">
        <f t="shared" si="5"/>
        <v>11.666666666666657</v>
      </c>
      <c r="G15" s="1">
        <f t="shared" si="1"/>
        <v>11.666666666666657</v>
      </c>
      <c r="H15" s="1">
        <f t="shared" si="2"/>
        <v>136.11111111111089</v>
      </c>
      <c r="I15" s="1">
        <f t="shared" si="3"/>
        <v>5.8115400581153956E-2</v>
      </c>
      <c r="J15" s="1">
        <f>AVERAGE(D3:D14)</f>
        <v>191.57638888888889</v>
      </c>
      <c r="K15" s="1">
        <f t="shared" si="6"/>
        <v>-2.4930555555555429</v>
      </c>
      <c r="L15" s="1">
        <f t="shared" si="11"/>
        <v>2.4930555555555429</v>
      </c>
      <c r="M15" s="1">
        <f t="shared" si="7"/>
        <v>6.2153260030863571</v>
      </c>
      <c r="N15" s="1">
        <f t="shared" si="8"/>
        <v>42.898363095237912</v>
      </c>
      <c r="O15" s="1"/>
      <c r="P15" s="1">
        <f t="shared" si="9"/>
        <v>189.08333333333334</v>
      </c>
      <c r="Q15" s="1">
        <f t="shared" si="13"/>
        <v>189.08333333333334</v>
      </c>
      <c r="R15" s="1">
        <f t="shared" si="10"/>
        <v>35752.506944444445</v>
      </c>
      <c r="S15" s="1">
        <f t="shared" si="12"/>
        <v>4.4077050892024179</v>
      </c>
    </row>
    <row r="16" spans="1:19" x14ac:dyDescent="0.25">
      <c r="A16" s="1">
        <v>1965</v>
      </c>
      <c r="B16" s="1">
        <v>2797</v>
      </c>
      <c r="C16" s="1">
        <v>12</v>
      </c>
      <c r="D16" s="1">
        <f t="shared" si="0"/>
        <v>233.08333333333334</v>
      </c>
      <c r="E16" s="1">
        <f t="shared" si="4"/>
        <v>200.75</v>
      </c>
      <c r="F16" s="1">
        <f t="shared" si="5"/>
        <v>32.333333333333343</v>
      </c>
      <c r="G16" s="1">
        <f t="shared" si="1"/>
        <v>32.333333333333343</v>
      </c>
      <c r="H16" s="1">
        <f t="shared" si="2"/>
        <v>1045.444444444445</v>
      </c>
      <c r="I16" s="1">
        <f t="shared" si="3"/>
        <v>0.13872005720414735</v>
      </c>
      <c r="J16" s="1">
        <f>AVERAGE(D3:D15)</f>
        <v>192.28205128205127</v>
      </c>
      <c r="K16" s="1">
        <f t="shared" si="6"/>
        <v>8.4679487179487296</v>
      </c>
      <c r="L16" s="1">
        <f t="shared" si="11"/>
        <v>8.4679487179487296</v>
      </c>
      <c r="M16" s="1">
        <f t="shared" si="7"/>
        <v>71.706155489809532</v>
      </c>
      <c r="N16" s="1">
        <f t="shared" si="8"/>
        <v>61.04343444356337</v>
      </c>
      <c r="O16" s="1"/>
      <c r="P16" s="1">
        <f t="shared" si="9"/>
        <v>200.75</v>
      </c>
      <c r="Q16" s="1">
        <f t="shared" si="13"/>
        <v>200.75</v>
      </c>
      <c r="R16" s="1">
        <f t="shared" si="10"/>
        <v>40300.5625</v>
      </c>
      <c r="S16" s="1">
        <f t="shared" si="12"/>
        <v>3.2886419617428286</v>
      </c>
    </row>
    <row r="17" spans="1:19" x14ac:dyDescent="0.25">
      <c r="A17" s="1">
        <v>1966</v>
      </c>
      <c r="B17" s="1">
        <v>2861</v>
      </c>
      <c r="C17" s="1">
        <v>12</v>
      </c>
      <c r="D17" s="1">
        <f t="shared" si="0"/>
        <v>238.41666666666666</v>
      </c>
      <c r="E17" s="1">
        <f t="shared" si="4"/>
        <v>233.08333333333334</v>
      </c>
      <c r="F17" s="1">
        <f t="shared" si="5"/>
        <v>5.3333333333333144</v>
      </c>
      <c r="G17" s="1">
        <f t="shared" si="1"/>
        <v>5.3333333333333144</v>
      </c>
      <c r="H17" s="1">
        <f t="shared" si="2"/>
        <v>28.444444444444244</v>
      </c>
      <c r="I17" s="1">
        <f t="shared" si="3"/>
        <v>2.2369800768961823E-2</v>
      </c>
      <c r="J17" s="1">
        <f>AVERAGE(D3:D16)</f>
        <v>195.19642857142858</v>
      </c>
      <c r="K17" s="1">
        <f t="shared" si="6"/>
        <v>37.886904761904759</v>
      </c>
      <c r="L17" s="1">
        <f t="shared" si="11"/>
        <v>37.886904761904759</v>
      </c>
      <c r="M17" s="1">
        <f t="shared" si="7"/>
        <v>1435.4175524376415</v>
      </c>
      <c r="N17" s="1">
        <f t="shared" si="8"/>
        <v>1693.6630394345295</v>
      </c>
      <c r="O17" s="1"/>
      <c r="P17" s="1">
        <f t="shared" si="9"/>
        <v>233.08333333333334</v>
      </c>
      <c r="Q17" s="1">
        <f t="shared" si="13"/>
        <v>233.08333333333334</v>
      </c>
      <c r="R17" s="1">
        <f t="shared" si="10"/>
        <v>54327.840277777781</v>
      </c>
      <c r="S17" s="1">
        <f t="shared" si="12"/>
        <v>0.1376208418713287</v>
      </c>
    </row>
    <row r="18" spans="1:19" x14ac:dyDescent="0.25">
      <c r="A18" s="1">
        <v>1967</v>
      </c>
      <c r="B18" s="1">
        <v>2903</v>
      </c>
      <c r="C18" s="1">
        <v>12</v>
      </c>
      <c r="D18" s="1">
        <f t="shared" si="0"/>
        <v>241.91666666666666</v>
      </c>
      <c r="E18" s="1">
        <f t="shared" si="4"/>
        <v>238.41666666666666</v>
      </c>
      <c r="F18" s="1">
        <f t="shared" si="5"/>
        <v>3.5</v>
      </c>
      <c r="G18" s="1">
        <f t="shared" si="1"/>
        <v>3.5</v>
      </c>
      <c r="H18" s="1">
        <f t="shared" si="2"/>
        <v>12.25</v>
      </c>
      <c r="I18" s="1">
        <f t="shared" si="3"/>
        <v>1.4467791939373063E-2</v>
      </c>
      <c r="J18" s="1">
        <f>AVERAGE(D3:D17)</f>
        <v>198.07777777777775</v>
      </c>
      <c r="K18" s="1">
        <f t="shared" si="6"/>
        <v>40.338888888888903</v>
      </c>
      <c r="L18" s="1">
        <f t="shared" si="11"/>
        <v>40.338888888888903</v>
      </c>
      <c r="M18" s="1">
        <f t="shared" si="7"/>
        <v>1627.2259567901247</v>
      </c>
      <c r="N18" s="1">
        <f t="shared" si="8"/>
        <v>2788.1855820105829</v>
      </c>
      <c r="O18" s="1"/>
      <c r="P18" s="1">
        <f t="shared" si="9"/>
        <v>238.41666666666666</v>
      </c>
      <c r="Q18" s="1">
        <f t="shared" si="13"/>
        <v>238.41666666666666</v>
      </c>
      <c r="R18" s="1">
        <f t="shared" si="10"/>
        <v>56842.506944444438</v>
      </c>
      <c r="S18" s="1">
        <f t="shared" si="12"/>
        <v>8.5509611772234498E-2</v>
      </c>
    </row>
    <row r="19" spans="1:19" x14ac:dyDescent="0.25">
      <c r="A19" s="1">
        <v>1968</v>
      </c>
      <c r="B19" s="1">
        <v>3035</v>
      </c>
      <c r="C19" s="1">
        <v>12</v>
      </c>
      <c r="D19" s="1">
        <f t="shared" si="0"/>
        <v>252.91666666666666</v>
      </c>
      <c r="E19" s="1">
        <f t="shared" si="4"/>
        <v>241.91666666666666</v>
      </c>
      <c r="F19" s="1">
        <f t="shared" si="5"/>
        <v>11</v>
      </c>
      <c r="G19" s="1">
        <f t="shared" si="1"/>
        <v>11</v>
      </c>
      <c r="H19" s="1">
        <f t="shared" si="2"/>
        <v>121</v>
      </c>
      <c r="I19" s="1">
        <f t="shared" si="3"/>
        <v>4.3492586490939046E-2</v>
      </c>
      <c r="J19" s="1">
        <f>AVERAGE(D3:D18)</f>
        <v>200.81770833333331</v>
      </c>
      <c r="K19" s="1">
        <f t="shared" si="6"/>
        <v>41.098958333333343</v>
      </c>
      <c r="L19" s="1">
        <f t="shared" si="11"/>
        <v>41.098958333333343</v>
      </c>
      <c r="M19" s="1">
        <f t="shared" si="7"/>
        <v>1689.1243760850703</v>
      </c>
      <c r="N19" s="1">
        <f t="shared" si="8"/>
        <v>944.96468592171732</v>
      </c>
      <c r="O19" s="1"/>
      <c r="P19" s="1">
        <f t="shared" si="9"/>
        <v>241.91666666666666</v>
      </c>
      <c r="Q19" s="1">
        <f t="shared" si="13"/>
        <v>241.91666666666666</v>
      </c>
      <c r="R19" s="1">
        <f t="shared" si="10"/>
        <v>58523.673611111109</v>
      </c>
      <c r="S19" s="1">
        <f t="shared" si="12"/>
        <v>0.25600603945395212</v>
      </c>
    </row>
    <row r="20" spans="1:19" x14ac:dyDescent="0.25">
      <c r="A20" s="1">
        <v>1969</v>
      </c>
      <c r="B20" s="1">
        <v>2984</v>
      </c>
      <c r="C20" s="1">
        <v>12</v>
      </c>
      <c r="D20" s="1">
        <f t="shared" si="0"/>
        <v>248.66666666666666</v>
      </c>
      <c r="E20" s="1">
        <f t="shared" si="4"/>
        <v>252.91666666666666</v>
      </c>
      <c r="F20" s="1">
        <f t="shared" si="5"/>
        <v>-4.25</v>
      </c>
      <c r="G20" s="1">
        <f t="shared" si="1"/>
        <v>4.25</v>
      </c>
      <c r="H20" s="1">
        <f t="shared" si="2"/>
        <v>18.0625</v>
      </c>
      <c r="I20" s="1">
        <f t="shared" si="3"/>
        <v>1.7091152815013406E-2</v>
      </c>
      <c r="J20" s="1">
        <f>AVERAGE(D3:D19)</f>
        <v>203.88235294117644</v>
      </c>
      <c r="K20" s="1">
        <f t="shared" si="6"/>
        <v>49.034313725490222</v>
      </c>
      <c r="L20" s="1">
        <f t="shared" si="11"/>
        <v>49.034313725490222</v>
      </c>
      <c r="M20" s="1">
        <f t="shared" si="7"/>
        <v>2404.3639225297989</v>
      </c>
      <c r="N20" s="1">
        <f t="shared" si="8"/>
        <v>2868.9880815071142</v>
      </c>
      <c r="O20" s="1"/>
      <c r="P20" s="1">
        <f t="shared" si="9"/>
        <v>252.91666666666666</v>
      </c>
      <c r="Q20" s="1">
        <f t="shared" si="13"/>
        <v>252.91666666666666</v>
      </c>
      <c r="R20" s="1">
        <f t="shared" si="10"/>
        <v>63966.840277777774</v>
      </c>
      <c r="S20" s="1">
        <f t="shared" si="12"/>
        <v>8.8155356342158958E-2</v>
      </c>
    </row>
    <row r="21" spans="1:19" x14ac:dyDescent="0.25">
      <c r="A21" s="1">
        <v>1970</v>
      </c>
      <c r="B21" s="1">
        <v>2946</v>
      </c>
      <c r="C21" s="1">
        <v>12</v>
      </c>
      <c r="D21" s="1">
        <f t="shared" si="0"/>
        <v>245.5</v>
      </c>
      <c r="E21" s="1">
        <f t="shared" si="4"/>
        <v>248.66666666666666</v>
      </c>
      <c r="F21" s="1">
        <f t="shared" si="5"/>
        <v>-3.1666666666666572</v>
      </c>
      <c r="G21" s="1">
        <f t="shared" si="1"/>
        <v>3.1666666666666572</v>
      </c>
      <c r="H21" s="1">
        <f t="shared" si="2"/>
        <v>10.027777777777718</v>
      </c>
      <c r="I21" s="1">
        <f t="shared" si="3"/>
        <v>1.2898845892735874E-2</v>
      </c>
      <c r="J21" s="1">
        <f>AVERAGE(D3:D20)</f>
        <v>206.37037037037032</v>
      </c>
      <c r="K21" s="1">
        <f t="shared" si="6"/>
        <v>42.296296296296333</v>
      </c>
      <c r="L21" s="1">
        <f t="shared" si="11"/>
        <v>42.296296296296333</v>
      </c>
      <c r="M21" s="1">
        <f t="shared" si="7"/>
        <v>1788.976680384091</v>
      </c>
      <c r="N21" s="1">
        <f t="shared" si="8"/>
        <v>3279.0760233918259</v>
      </c>
      <c r="O21" s="1"/>
      <c r="P21" s="1">
        <f t="shared" si="9"/>
        <v>248.66666666666666</v>
      </c>
      <c r="Q21" s="1">
        <f t="shared" si="13"/>
        <v>248.66666666666666</v>
      </c>
      <c r="R21" s="1">
        <f t="shared" si="10"/>
        <v>61835.111111111109</v>
      </c>
      <c r="S21" s="1">
        <f t="shared" si="12"/>
        <v>7.5834370686364783E-2</v>
      </c>
    </row>
    <row r="22" spans="1:19" x14ac:dyDescent="0.25">
      <c r="A22" s="1">
        <v>1971</v>
      </c>
      <c r="B22" s="1">
        <v>2942</v>
      </c>
      <c r="C22" s="1">
        <v>12</v>
      </c>
      <c r="D22" s="1">
        <f t="shared" si="0"/>
        <v>245.16666666666666</v>
      </c>
      <c r="E22" s="1">
        <f t="shared" si="4"/>
        <v>245.5</v>
      </c>
      <c r="F22" s="1">
        <f t="shared" si="5"/>
        <v>-0.33333333333334281</v>
      </c>
      <c r="G22" s="1">
        <f t="shared" si="1"/>
        <v>0.33333333333334281</v>
      </c>
      <c r="H22" s="1">
        <f t="shared" si="2"/>
        <v>0.11111111111111743</v>
      </c>
      <c r="I22" s="1">
        <f t="shared" si="3"/>
        <v>1.3596193065941924E-3</v>
      </c>
      <c r="J22" s="1">
        <f>AVERAGE(D3:D21)</f>
        <v>208.42982456140348</v>
      </c>
      <c r="K22" s="1">
        <f t="shared" si="6"/>
        <v>37.070175438596522</v>
      </c>
      <c r="L22" s="1">
        <f t="shared" si="11"/>
        <v>37.070175438596522</v>
      </c>
      <c r="M22" s="1">
        <f t="shared" si="7"/>
        <v>1374.1979070483249</v>
      </c>
      <c r="N22" s="1">
        <f t="shared" si="8"/>
        <v>27265.114035086965</v>
      </c>
      <c r="O22" s="1"/>
      <c r="P22" s="1">
        <f t="shared" si="9"/>
        <v>245.5</v>
      </c>
      <c r="Q22" s="1">
        <f t="shared" si="13"/>
        <v>245.5</v>
      </c>
      <c r="R22" s="1">
        <f t="shared" si="10"/>
        <v>60270.25</v>
      </c>
      <c r="S22" s="1">
        <f t="shared" si="12"/>
        <v>9.0041802019999121E-3</v>
      </c>
    </row>
    <row r="23" spans="1:19" x14ac:dyDescent="0.25">
      <c r="A23" s="1">
        <v>1972</v>
      </c>
      <c r="B23" s="1">
        <v>2932</v>
      </c>
      <c r="C23" s="1">
        <v>12</v>
      </c>
      <c r="D23" s="1">
        <f t="shared" si="0"/>
        <v>244.33333333333334</v>
      </c>
      <c r="E23" s="1">
        <f t="shared" si="4"/>
        <v>245.16666666666666</v>
      </c>
      <c r="F23" s="1">
        <f t="shared" si="5"/>
        <v>-0.83333333333331439</v>
      </c>
      <c r="G23" s="1">
        <f t="shared" si="1"/>
        <v>0.83333333333331439</v>
      </c>
      <c r="H23" s="1">
        <f t="shared" si="2"/>
        <v>0.69444444444441289</v>
      </c>
      <c r="I23" s="1">
        <f t="shared" si="3"/>
        <v>3.4106412005456251E-3</v>
      </c>
      <c r="J23" s="1">
        <f>AVERAGE(D3:D22)</f>
        <v>210.26666666666665</v>
      </c>
      <c r="K23" s="1">
        <f t="shared" si="6"/>
        <v>34.900000000000006</v>
      </c>
      <c r="L23" s="1">
        <f t="shared" si="11"/>
        <v>34.900000000000006</v>
      </c>
      <c r="M23" s="1">
        <f t="shared" si="7"/>
        <v>1218.0100000000004</v>
      </c>
      <c r="N23" s="1">
        <f t="shared" si="8"/>
        <v>10232.680000000235</v>
      </c>
      <c r="O23" s="1"/>
      <c r="P23" s="1">
        <f t="shared" si="9"/>
        <v>245.16666666666666</v>
      </c>
      <c r="Q23" s="1">
        <f t="shared" si="13"/>
        <v>245.16666666666666</v>
      </c>
      <c r="R23" s="1">
        <f t="shared" si="10"/>
        <v>60106.694444444438</v>
      </c>
      <c r="S23" s="1">
        <f t="shared" si="12"/>
        <v>2.3959184364864439E-2</v>
      </c>
    </row>
    <row r="24" spans="1:19" x14ac:dyDescent="0.25">
      <c r="A24" s="1">
        <v>1973</v>
      </c>
      <c r="B24" s="1">
        <v>2900</v>
      </c>
      <c r="C24" s="1">
        <v>12</v>
      </c>
      <c r="D24" s="1">
        <f t="shared" si="0"/>
        <v>241.66666666666666</v>
      </c>
      <c r="E24" s="1">
        <f t="shared" si="4"/>
        <v>244.33333333333334</v>
      </c>
      <c r="F24" s="1">
        <f t="shared" si="5"/>
        <v>-2.6666666666666856</v>
      </c>
      <c r="G24" s="1">
        <f t="shared" si="1"/>
        <v>2.6666666666666856</v>
      </c>
      <c r="H24" s="1">
        <f t="shared" si="2"/>
        <v>7.111111111111212</v>
      </c>
      <c r="I24" s="1">
        <f t="shared" si="3"/>
        <v>1.1034482758620769E-2</v>
      </c>
      <c r="J24" s="1">
        <f>AVERAGE(D3:D23)</f>
        <v>211.88888888888886</v>
      </c>
      <c r="K24" s="1">
        <f t="shared" si="6"/>
        <v>32.444444444444485</v>
      </c>
      <c r="L24" s="1">
        <f t="shared" si="11"/>
        <v>32.444444444444485</v>
      </c>
      <c r="M24" s="1">
        <f t="shared" si="7"/>
        <v>1052.6419753086445</v>
      </c>
      <c r="N24" s="1">
        <f t="shared" si="8"/>
        <v>2940.2777777777605</v>
      </c>
      <c r="O24" s="1"/>
      <c r="P24" s="1">
        <f t="shared" si="9"/>
        <v>244.33333333333334</v>
      </c>
      <c r="Q24" s="1">
        <f t="shared" si="13"/>
        <v>244.33333333333334</v>
      </c>
      <c r="R24" s="1">
        <f t="shared" si="10"/>
        <v>59698.777777777781</v>
      </c>
      <c r="S24" s="1">
        <f t="shared" si="12"/>
        <v>8.3098724610298075E-2</v>
      </c>
    </row>
    <row r="25" spans="1:19" x14ac:dyDescent="0.25">
      <c r="A25" s="1">
        <v>1974</v>
      </c>
      <c r="B25" s="1">
        <v>3038</v>
      </c>
      <c r="C25" s="1">
        <v>12</v>
      </c>
      <c r="D25" s="1">
        <f t="shared" si="0"/>
        <v>253.16666666666666</v>
      </c>
      <c r="E25" s="1">
        <f t="shared" si="4"/>
        <v>241.66666666666666</v>
      </c>
      <c r="F25" s="1">
        <f t="shared" si="5"/>
        <v>11.5</v>
      </c>
      <c r="G25" s="1">
        <f t="shared" si="1"/>
        <v>11.5</v>
      </c>
      <c r="H25" s="1">
        <f t="shared" si="2"/>
        <v>132.25</v>
      </c>
      <c r="I25" s="1">
        <f t="shared" si="3"/>
        <v>4.5424621461487825E-2</v>
      </c>
      <c r="J25" s="1">
        <f>AVERAGE(D3:D24)</f>
        <v>213.24242424242422</v>
      </c>
      <c r="K25" s="1">
        <f t="shared" si="6"/>
        <v>28.424242424242436</v>
      </c>
      <c r="L25" s="1">
        <f t="shared" si="11"/>
        <v>28.424242424242436</v>
      </c>
      <c r="M25" s="1">
        <f t="shared" si="7"/>
        <v>807.93755739210349</v>
      </c>
      <c r="N25" s="1">
        <f t="shared" si="8"/>
        <v>625.74527887571389</v>
      </c>
      <c r="O25" s="1"/>
      <c r="P25" s="1">
        <f t="shared" si="9"/>
        <v>241.66666666666666</v>
      </c>
      <c r="Q25" s="1">
        <f t="shared" si="13"/>
        <v>241.66666666666666</v>
      </c>
      <c r="R25" s="1">
        <f t="shared" si="10"/>
        <v>58402.777777777774</v>
      </c>
      <c r="S25" s="1">
        <f t="shared" si="12"/>
        <v>0.38620613662618891</v>
      </c>
    </row>
    <row r="26" spans="1:19" x14ac:dyDescent="0.25">
      <c r="A26" s="1">
        <v>1975</v>
      </c>
      <c r="B26" s="1">
        <v>2984</v>
      </c>
      <c r="C26" s="1">
        <v>12</v>
      </c>
      <c r="D26" s="1">
        <f t="shared" si="0"/>
        <v>248.66666666666666</v>
      </c>
      <c r="E26" s="1">
        <f t="shared" si="4"/>
        <v>253.16666666666666</v>
      </c>
      <c r="F26" s="1">
        <f t="shared" si="5"/>
        <v>-4.5</v>
      </c>
      <c r="G26" s="1">
        <f t="shared" si="1"/>
        <v>4.5</v>
      </c>
      <c r="H26" s="1">
        <f t="shared" si="2"/>
        <v>20.25</v>
      </c>
      <c r="I26" s="1">
        <f t="shared" si="3"/>
        <v>1.8096514745308313E-2</v>
      </c>
      <c r="J26" s="1">
        <f>AVERAGE(D3:D25)</f>
        <v>214.97826086956522</v>
      </c>
      <c r="K26" s="1">
        <f t="shared" si="6"/>
        <v>38.188405797101439</v>
      </c>
      <c r="L26" s="1">
        <f t="shared" si="11"/>
        <v>38.188405797101439</v>
      </c>
      <c r="M26" s="1">
        <f t="shared" si="7"/>
        <v>1458.3543373240907</v>
      </c>
      <c r="N26" s="1">
        <f t="shared" si="8"/>
        <v>2110.2630166398276</v>
      </c>
      <c r="O26" s="1"/>
      <c r="P26" s="1">
        <f t="shared" si="9"/>
        <v>253.16666666666666</v>
      </c>
      <c r="Q26" s="1">
        <f t="shared" si="13"/>
        <v>253.16666666666666</v>
      </c>
      <c r="R26" s="1">
        <f t="shared" si="10"/>
        <v>64093.361111111109</v>
      </c>
      <c r="S26" s="1">
        <f t="shared" si="12"/>
        <v>0.11996924775272043</v>
      </c>
    </row>
    <row r="27" spans="1:19" x14ac:dyDescent="0.25">
      <c r="A27" s="1">
        <v>1976</v>
      </c>
      <c r="B27" s="1">
        <v>3047</v>
      </c>
      <c r="C27" s="1">
        <v>12</v>
      </c>
      <c r="D27" s="1">
        <f t="shared" si="0"/>
        <v>253.91666666666666</v>
      </c>
      <c r="E27" s="1">
        <f t="shared" si="4"/>
        <v>248.66666666666666</v>
      </c>
      <c r="F27" s="1">
        <f t="shared" si="5"/>
        <v>5.25</v>
      </c>
      <c r="G27" s="1">
        <f t="shared" si="1"/>
        <v>5.25</v>
      </c>
      <c r="H27" s="1">
        <f t="shared" si="2"/>
        <v>27.5625</v>
      </c>
      <c r="I27" s="1">
        <f t="shared" si="3"/>
        <v>2.0676074827699377E-2</v>
      </c>
      <c r="J27" s="1">
        <f>AVERAGE(D3:D26)</f>
        <v>216.38194444444446</v>
      </c>
      <c r="K27" s="1">
        <f t="shared" si="6"/>
        <v>32.2847222222222</v>
      </c>
      <c r="L27" s="1">
        <f t="shared" si="11"/>
        <v>32.2847222222222</v>
      </c>
      <c r="M27" s="1">
        <f t="shared" si="7"/>
        <v>1042.3032889660481</v>
      </c>
      <c r="N27" s="1">
        <f t="shared" si="8"/>
        <v>1561.4531525573182</v>
      </c>
      <c r="O27" s="1"/>
      <c r="P27" s="1">
        <f t="shared" si="9"/>
        <v>248.66666666666666</v>
      </c>
      <c r="Q27" s="1">
        <f t="shared" si="13"/>
        <v>248.66666666666666</v>
      </c>
      <c r="R27" s="1">
        <f t="shared" si="10"/>
        <v>61835.111111111109</v>
      </c>
      <c r="S27" s="1">
        <f t="shared" si="12"/>
        <v>0.15925336361158524</v>
      </c>
    </row>
    <row r="28" spans="1:19" x14ac:dyDescent="0.25">
      <c r="A28" s="1">
        <v>1977</v>
      </c>
      <c r="B28" s="1">
        <v>3199</v>
      </c>
      <c r="C28" s="1">
        <v>12</v>
      </c>
      <c r="D28" s="1">
        <f t="shared" si="0"/>
        <v>266.58333333333331</v>
      </c>
      <c r="E28" s="1">
        <f t="shared" si="4"/>
        <v>253.91666666666666</v>
      </c>
      <c r="F28" s="1">
        <f t="shared" si="5"/>
        <v>12.666666666666657</v>
      </c>
      <c r="G28" s="1">
        <f t="shared" si="1"/>
        <v>12.666666666666657</v>
      </c>
      <c r="H28" s="1">
        <f t="shared" si="2"/>
        <v>160.4444444444442</v>
      </c>
      <c r="I28" s="1">
        <f t="shared" si="3"/>
        <v>4.7514848390121878E-2</v>
      </c>
      <c r="J28" s="1">
        <f>AVERAGE(D3:D27)</f>
        <v>217.88333333333335</v>
      </c>
      <c r="K28" s="1">
        <f t="shared" si="6"/>
        <v>36.033333333333303</v>
      </c>
      <c r="L28" s="1">
        <f t="shared" si="11"/>
        <v>36.033333333333303</v>
      </c>
      <c r="M28" s="1">
        <f t="shared" si="7"/>
        <v>1298.401111111109</v>
      </c>
      <c r="N28" s="1">
        <f t="shared" si="8"/>
        <v>758.35942982456129</v>
      </c>
      <c r="O28" s="1"/>
      <c r="P28" s="1">
        <f t="shared" si="9"/>
        <v>253.91666666666666</v>
      </c>
      <c r="Q28" s="1">
        <f t="shared" si="13"/>
        <v>253.91666666666666</v>
      </c>
      <c r="R28" s="1">
        <f t="shared" si="10"/>
        <v>64473.673611111109</v>
      </c>
      <c r="S28" s="1">
        <f t="shared" si="12"/>
        <v>0.33482364256406449</v>
      </c>
    </row>
    <row r="29" spans="1:19" x14ac:dyDescent="0.25">
      <c r="A29" s="1">
        <v>1978</v>
      </c>
      <c r="B29" s="1">
        <v>2993</v>
      </c>
      <c r="C29" s="1">
        <v>12</v>
      </c>
      <c r="D29" s="1">
        <f t="shared" si="0"/>
        <v>249.41666666666666</v>
      </c>
      <c r="E29" s="1">
        <f t="shared" si="4"/>
        <v>266.58333333333331</v>
      </c>
      <c r="F29" s="1">
        <f t="shared" si="5"/>
        <v>-17.166666666666657</v>
      </c>
      <c r="G29" s="1">
        <f t="shared" si="1"/>
        <v>17.166666666666657</v>
      </c>
      <c r="H29" s="1">
        <f t="shared" si="2"/>
        <v>294.69444444444412</v>
      </c>
      <c r="I29" s="1">
        <f t="shared" si="3"/>
        <v>6.8827263615101872E-2</v>
      </c>
      <c r="J29" s="1">
        <f>AVERAGE(D3:D28)</f>
        <v>219.75641025641028</v>
      </c>
      <c r="K29" s="1">
        <f t="shared" si="6"/>
        <v>46.826923076923038</v>
      </c>
      <c r="L29" s="1">
        <f t="shared" si="11"/>
        <v>46.826923076923038</v>
      </c>
      <c r="M29" s="1">
        <f t="shared" si="7"/>
        <v>2192.7607248520671</v>
      </c>
      <c r="N29" s="1">
        <f t="shared" si="8"/>
        <v>680.35427557878984</v>
      </c>
      <c r="O29" s="1"/>
      <c r="P29" s="1">
        <f t="shared" si="9"/>
        <v>266.58333333333331</v>
      </c>
      <c r="Q29" s="1">
        <f t="shared" si="13"/>
        <v>266.58333333333331</v>
      </c>
      <c r="R29" s="1">
        <f t="shared" si="10"/>
        <v>71066.673611111095</v>
      </c>
      <c r="S29" s="1">
        <f t="shared" si="12"/>
        <v>0.39183017275307924</v>
      </c>
    </row>
    <row r="30" spans="1:19" x14ac:dyDescent="0.25">
      <c r="A30" s="1">
        <v>1979</v>
      </c>
      <c r="B30" s="1">
        <v>2897</v>
      </c>
      <c r="C30" s="1">
        <v>12</v>
      </c>
      <c r="D30" s="1">
        <f t="shared" si="0"/>
        <v>241.41666666666666</v>
      </c>
      <c r="E30" s="1">
        <f t="shared" si="4"/>
        <v>249.41666666666666</v>
      </c>
      <c r="F30" s="1">
        <f t="shared" si="5"/>
        <v>-8</v>
      </c>
      <c r="G30" s="1">
        <f t="shared" si="1"/>
        <v>8</v>
      </c>
      <c r="H30" s="1">
        <f t="shared" si="2"/>
        <v>64</v>
      </c>
      <c r="I30" s="1">
        <f t="shared" si="3"/>
        <v>3.3137728684846393E-2</v>
      </c>
      <c r="J30" s="1">
        <f>AVERAGE(D3:D29)</f>
        <v>220.85493827160496</v>
      </c>
      <c r="K30" s="1">
        <f t="shared" si="6"/>
        <v>28.561728395061692</v>
      </c>
      <c r="L30" s="1">
        <f t="shared" si="11"/>
        <v>28.561728395061692</v>
      </c>
      <c r="M30" s="1">
        <f t="shared" si="7"/>
        <v>815.77232891327333</v>
      </c>
      <c r="N30" s="1">
        <f t="shared" si="8"/>
        <v>861.90965792180964</v>
      </c>
      <c r="O30" s="1"/>
      <c r="P30" s="1">
        <f t="shared" si="9"/>
        <v>249.41666666666666</v>
      </c>
      <c r="Q30" s="1">
        <f t="shared" si="13"/>
        <v>249.41666666666666</v>
      </c>
      <c r="R30" s="1">
        <f t="shared" si="10"/>
        <v>62208.673611111109</v>
      </c>
      <c r="S30" s="1">
        <f t="shared" si="12"/>
        <v>0.28937680924477255</v>
      </c>
    </row>
    <row r="31" spans="1:19" x14ac:dyDescent="0.25">
      <c r="A31" s="1">
        <v>1980</v>
      </c>
      <c r="B31" s="1">
        <v>2885</v>
      </c>
      <c r="C31" s="1">
        <v>12</v>
      </c>
      <c r="D31" s="1">
        <f t="shared" si="0"/>
        <v>240.41666666666666</v>
      </c>
      <c r="E31" s="1">
        <f t="shared" si="4"/>
        <v>241.41666666666666</v>
      </c>
      <c r="F31" s="1">
        <f t="shared" si="5"/>
        <v>-1</v>
      </c>
      <c r="G31" s="1">
        <f t="shared" si="1"/>
        <v>1</v>
      </c>
      <c r="H31" s="1">
        <f t="shared" si="2"/>
        <v>1</v>
      </c>
      <c r="I31" s="1">
        <f t="shared" si="3"/>
        <v>4.1594454072790294E-3</v>
      </c>
      <c r="J31" s="1">
        <f>AVERAGE(D3:D30)</f>
        <v>221.58928571428575</v>
      </c>
      <c r="K31" s="1">
        <f t="shared" si="6"/>
        <v>19.827380952380906</v>
      </c>
      <c r="L31" s="1">
        <f t="shared" si="11"/>
        <v>19.827380952380906</v>
      </c>
      <c r="M31" s="1">
        <f t="shared" si="7"/>
        <v>393.12503543083716</v>
      </c>
      <c r="N31" s="1">
        <f t="shared" si="8"/>
        <v>4766.8328373015765</v>
      </c>
      <c r="O31" s="1"/>
      <c r="P31" s="1">
        <f t="shared" si="9"/>
        <v>241.41666666666666</v>
      </c>
      <c r="Q31" s="1">
        <f t="shared" si="13"/>
        <v>241.41666666666666</v>
      </c>
      <c r="R31" s="1">
        <f t="shared" si="10"/>
        <v>58282.006944444438</v>
      </c>
      <c r="S31" s="1">
        <f t="shared" si="12"/>
        <v>5.0645087609853874E-2</v>
      </c>
    </row>
    <row r="32" spans="1:19" x14ac:dyDescent="0.25">
      <c r="A32" s="1">
        <v>1981</v>
      </c>
      <c r="B32" s="1">
        <v>2796</v>
      </c>
      <c r="C32" s="1">
        <v>12</v>
      </c>
      <c r="D32" s="1">
        <f t="shared" si="0"/>
        <v>233</v>
      </c>
      <c r="E32" s="1">
        <f t="shared" si="4"/>
        <v>240.41666666666666</v>
      </c>
      <c r="F32" s="1">
        <f t="shared" si="5"/>
        <v>-7.4166666666666572</v>
      </c>
      <c r="G32" s="1">
        <f t="shared" si="1"/>
        <v>7.4166666666666572</v>
      </c>
      <c r="H32" s="1">
        <f t="shared" si="2"/>
        <v>55.006944444444301</v>
      </c>
      <c r="I32" s="1">
        <f t="shared" si="3"/>
        <v>3.1831187410586513E-2</v>
      </c>
      <c r="J32" s="1">
        <f>AVERAGE(D3:D31)</f>
        <v>222.23850574712648</v>
      </c>
      <c r="K32" s="1">
        <f t="shared" si="6"/>
        <v>18.178160919540176</v>
      </c>
      <c r="L32" s="1">
        <f t="shared" si="11"/>
        <v>18.178160919540176</v>
      </c>
      <c r="M32" s="1">
        <f t="shared" si="7"/>
        <v>330.44553441669774</v>
      </c>
      <c r="N32" s="1">
        <f t="shared" si="8"/>
        <v>571.08020147229661</v>
      </c>
      <c r="O32" s="1"/>
      <c r="P32" s="1">
        <f t="shared" si="9"/>
        <v>240.41666666666666</v>
      </c>
      <c r="Q32" s="1">
        <f t="shared" si="13"/>
        <v>240.41666666666666</v>
      </c>
      <c r="R32" s="1">
        <f t="shared" si="10"/>
        <v>57800.173611111109</v>
      </c>
      <c r="S32" s="1">
        <f t="shared" si="12"/>
        <v>0.42098581958689979</v>
      </c>
    </row>
    <row r="33" spans="1:19" x14ac:dyDescent="0.25">
      <c r="A33" s="1">
        <v>1982</v>
      </c>
      <c r="B33" s="1">
        <v>2812</v>
      </c>
      <c r="C33" s="1">
        <v>12</v>
      </c>
      <c r="D33" s="1">
        <f t="shared" si="0"/>
        <v>234.33333333333334</v>
      </c>
      <c r="E33" s="1">
        <f t="shared" si="4"/>
        <v>233</v>
      </c>
      <c r="F33" s="1">
        <f t="shared" si="5"/>
        <v>1.3333333333333428</v>
      </c>
      <c r="G33" s="1">
        <f t="shared" si="1"/>
        <v>1.3333333333333428</v>
      </c>
      <c r="H33" s="1">
        <f t="shared" si="2"/>
        <v>1.777777777777803</v>
      </c>
      <c r="I33" s="1">
        <f t="shared" si="3"/>
        <v>5.6899004267425722E-3</v>
      </c>
      <c r="J33" s="1">
        <f>AVERAGE(D3:D32)</f>
        <v>222.59722222222226</v>
      </c>
      <c r="K33" s="1">
        <f t="shared" si="6"/>
        <v>10.402777777777743</v>
      </c>
      <c r="L33" s="1">
        <f t="shared" si="11"/>
        <v>10.402777777777743</v>
      </c>
      <c r="M33" s="1">
        <f t="shared" si="7"/>
        <v>108.21778549382644</v>
      </c>
      <c r="N33" s="1">
        <f t="shared" si="8"/>
        <v>1828.2881944444255</v>
      </c>
      <c r="O33" s="1"/>
      <c r="P33" s="1">
        <f t="shared" si="9"/>
        <v>233</v>
      </c>
      <c r="Q33" s="1">
        <f t="shared" si="13"/>
        <v>233</v>
      </c>
      <c r="R33" s="1">
        <f t="shared" si="10"/>
        <v>54289</v>
      </c>
      <c r="S33" s="1">
        <f t="shared" si="12"/>
        <v>0.12744161489857639</v>
      </c>
    </row>
    <row r="34" spans="1:19" x14ac:dyDescent="0.25">
      <c r="A34" s="1">
        <v>1983</v>
      </c>
      <c r="B34" s="1">
        <v>2995</v>
      </c>
      <c r="C34" s="1">
        <v>12</v>
      </c>
      <c r="D34" s="1">
        <f t="shared" si="0"/>
        <v>249.58333333333334</v>
      </c>
      <c r="E34" s="1">
        <f t="shared" si="4"/>
        <v>234.33333333333334</v>
      </c>
      <c r="F34" s="1">
        <f t="shared" si="5"/>
        <v>15.25</v>
      </c>
      <c r="G34" s="1">
        <f t="shared" si="1"/>
        <v>15.25</v>
      </c>
      <c r="H34" s="1">
        <f t="shared" si="2"/>
        <v>232.5625</v>
      </c>
      <c r="I34" s="1">
        <f t="shared" si="3"/>
        <v>6.1101836393989979E-2</v>
      </c>
      <c r="J34" s="1">
        <f>AVERAGE(D3:D33)</f>
        <v>222.97580645161293</v>
      </c>
      <c r="K34" s="1">
        <f t="shared" si="6"/>
        <v>11.357526881720418</v>
      </c>
      <c r="L34" s="1">
        <f t="shared" si="11"/>
        <v>11.357526881720418</v>
      </c>
      <c r="M34" s="1">
        <f t="shared" si="7"/>
        <v>128.99341686900192</v>
      </c>
      <c r="N34" s="1">
        <f t="shared" si="8"/>
        <v>185.8786503319817</v>
      </c>
      <c r="O34" s="1"/>
      <c r="P34" s="1">
        <f t="shared" si="9"/>
        <v>234.33333333333334</v>
      </c>
      <c r="Q34" s="1">
        <f t="shared" si="13"/>
        <v>234.33333333333334</v>
      </c>
      <c r="R34" s="1">
        <f t="shared" si="10"/>
        <v>54912.111111111117</v>
      </c>
      <c r="S34" s="1">
        <f t="shared" si="12"/>
        <v>1.2606791200324026</v>
      </c>
    </row>
    <row r="35" spans="1:19" x14ac:dyDescent="0.25">
      <c r="A35" s="1">
        <v>1984</v>
      </c>
      <c r="B35" s="1">
        <v>3178</v>
      </c>
      <c r="C35" s="1">
        <v>12</v>
      </c>
      <c r="D35" s="1">
        <f t="shared" si="0"/>
        <v>264.83333333333331</v>
      </c>
      <c r="E35" s="1">
        <f t="shared" si="4"/>
        <v>249.58333333333334</v>
      </c>
      <c r="F35" s="1">
        <f t="shared" si="5"/>
        <v>15.249999999999972</v>
      </c>
      <c r="G35" s="1">
        <f t="shared" si="1"/>
        <v>15.249999999999972</v>
      </c>
      <c r="H35" s="1">
        <f t="shared" si="2"/>
        <v>232.56249999999915</v>
      </c>
      <c r="I35" s="1">
        <f t="shared" si="3"/>
        <v>5.758338577721827E-2</v>
      </c>
      <c r="J35" s="1">
        <f>AVERAGE(D3:D34)</f>
        <v>223.80729166666669</v>
      </c>
      <c r="K35" s="1">
        <f t="shared" si="6"/>
        <v>25.776041666666657</v>
      </c>
      <c r="L35" s="1">
        <f t="shared" si="11"/>
        <v>25.776041666666657</v>
      </c>
      <c r="M35" s="1">
        <f t="shared" si="7"/>
        <v>664.40432400173563</v>
      </c>
      <c r="N35" s="1">
        <f t="shared" si="8"/>
        <v>447.62983834244147</v>
      </c>
      <c r="O35" s="1"/>
      <c r="P35" s="1">
        <f t="shared" si="9"/>
        <v>249.58333333333334</v>
      </c>
      <c r="Q35" s="1">
        <f t="shared" si="13"/>
        <v>249.58333333333334</v>
      </c>
      <c r="R35" s="1">
        <f t="shared" si="10"/>
        <v>62291.840277777781</v>
      </c>
      <c r="S35" s="1">
        <f t="shared" si="12"/>
        <v>0.55756634601824617</v>
      </c>
    </row>
    <row r="36" spans="1:19" x14ac:dyDescent="0.25">
      <c r="A36" s="1">
        <v>1985</v>
      </c>
      <c r="B36" s="1">
        <v>3394</v>
      </c>
      <c r="C36" s="1">
        <v>12</v>
      </c>
      <c r="D36" s="1">
        <f t="shared" si="0"/>
        <v>282.83333333333331</v>
      </c>
      <c r="E36" s="1">
        <f t="shared" si="4"/>
        <v>264.83333333333331</v>
      </c>
      <c r="F36" s="1">
        <f t="shared" si="5"/>
        <v>18</v>
      </c>
      <c r="G36" s="1">
        <f t="shared" si="1"/>
        <v>18</v>
      </c>
      <c r="H36" s="1">
        <f t="shared" si="2"/>
        <v>324</v>
      </c>
      <c r="I36" s="1">
        <f t="shared" si="3"/>
        <v>6.3641720683559222E-2</v>
      </c>
      <c r="J36" s="1">
        <f>AVERAGE(D3:D35)</f>
        <v>225.05050505050505</v>
      </c>
      <c r="K36" s="1">
        <f t="shared" si="6"/>
        <v>39.782828282828262</v>
      </c>
      <c r="L36" s="1">
        <f t="shared" si="11"/>
        <v>39.782828282828262</v>
      </c>
      <c r="M36" s="1">
        <f t="shared" si="7"/>
        <v>1582.6734261810004</v>
      </c>
      <c r="N36" s="1">
        <f t="shared" si="8"/>
        <v>625.10610736999593</v>
      </c>
      <c r="O36" s="1"/>
      <c r="P36" s="1">
        <f t="shared" si="9"/>
        <v>264.83333333333331</v>
      </c>
      <c r="Q36" s="1">
        <f t="shared" si="13"/>
        <v>264.83333333333331</v>
      </c>
      <c r="R36" s="1">
        <f t="shared" si="10"/>
        <v>70136.694444444438</v>
      </c>
      <c r="S36" s="1">
        <f t="shared" si="12"/>
        <v>0.42366140757697046</v>
      </c>
    </row>
    <row r="37" spans="1:19" x14ac:dyDescent="0.25">
      <c r="A37" s="1">
        <v>1986</v>
      </c>
      <c r="B37" s="1">
        <v>3482</v>
      </c>
      <c r="C37" s="1">
        <v>12</v>
      </c>
      <c r="D37" s="1">
        <f t="shared" si="0"/>
        <v>290.16666666666669</v>
      </c>
      <c r="E37" s="1">
        <f t="shared" si="4"/>
        <v>282.83333333333331</v>
      </c>
      <c r="F37" s="1">
        <f t="shared" si="5"/>
        <v>7.3333333333333712</v>
      </c>
      <c r="G37" s="1">
        <f t="shared" si="1"/>
        <v>7.3333333333333712</v>
      </c>
      <c r="H37" s="1">
        <f t="shared" si="2"/>
        <v>53.777777777778333</v>
      </c>
      <c r="I37" s="1">
        <f t="shared" si="3"/>
        <v>2.5272831705916269E-2</v>
      </c>
      <c r="J37" s="1">
        <f>AVERAGE(D3:D36)</f>
        <v>226.75</v>
      </c>
      <c r="K37" s="1">
        <f t="shared" si="6"/>
        <v>56.083333333333314</v>
      </c>
      <c r="L37" s="1">
        <f t="shared" si="11"/>
        <v>56.083333333333314</v>
      </c>
      <c r="M37" s="1">
        <f t="shared" si="7"/>
        <v>3145.3402777777756</v>
      </c>
      <c r="N37" s="1">
        <f t="shared" si="8"/>
        <v>2219.1155303030182</v>
      </c>
      <c r="O37" s="1"/>
      <c r="P37" s="1">
        <f t="shared" si="9"/>
        <v>282.83333333333331</v>
      </c>
      <c r="Q37" s="1">
        <f t="shared" si="13"/>
        <v>282.83333333333331</v>
      </c>
      <c r="R37" s="1">
        <f t="shared" si="10"/>
        <v>79994.694444444438</v>
      </c>
      <c r="S37" s="1">
        <f t="shared" si="12"/>
        <v>0.12745318099536382</v>
      </c>
    </row>
    <row r="38" spans="1:19" x14ac:dyDescent="0.25">
      <c r="A38" s="1">
        <v>1987</v>
      </c>
      <c r="B38" s="1">
        <v>3550</v>
      </c>
      <c r="C38" s="1">
        <v>12</v>
      </c>
      <c r="D38" s="1">
        <f t="shared" si="0"/>
        <v>295.83333333333331</v>
      </c>
      <c r="E38" s="1">
        <f t="shared" si="4"/>
        <v>290.16666666666669</v>
      </c>
      <c r="F38" s="1">
        <f t="shared" si="5"/>
        <v>5.6666666666666288</v>
      </c>
      <c r="G38" s="1">
        <f t="shared" si="1"/>
        <v>5.6666666666666288</v>
      </c>
      <c r="H38" s="1">
        <f t="shared" si="2"/>
        <v>32.111111111110681</v>
      </c>
      <c r="I38" s="1">
        <f t="shared" si="3"/>
        <v>1.9154929577464661E-2</v>
      </c>
      <c r="J38" s="1">
        <f>AVERAGE(D3:D37)</f>
        <v>228.56190476190477</v>
      </c>
      <c r="K38" s="1">
        <f t="shared" si="6"/>
        <v>61.604761904761915</v>
      </c>
      <c r="L38" s="1">
        <f t="shared" si="11"/>
        <v>61.604761904761915</v>
      </c>
      <c r="M38" s="1">
        <f t="shared" si="7"/>
        <v>3795.1466893424049</v>
      </c>
      <c r="N38" s="1">
        <f t="shared" si="8"/>
        <v>3216.1309523809746</v>
      </c>
      <c r="O38" s="1"/>
      <c r="P38" s="1">
        <f t="shared" si="9"/>
        <v>290.16666666666669</v>
      </c>
      <c r="Q38" s="1">
        <f t="shared" si="13"/>
        <v>290.16666666666669</v>
      </c>
      <c r="R38" s="1">
        <f t="shared" si="10"/>
        <v>84196.694444444453</v>
      </c>
      <c r="S38" s="1">
        <f t="shared" si="12"/>
        <v>9.0222279802335076E-2</v>
      </c>
    </row>
    <row r="39" spans="1:19" x14ac:dyDescent="0.25">
      <c r="A39" s="1">
        <v>1988</v>
      </c>
      <c r="B39" s="1">
        <v>3544</v>
      </c>
      <c r="C39" s="1">
        <v>12</v>
      </c>
      <c r="D39" s="1">
        <f t="shared" si="0"/>
        <v>295.33333333333331</v>
      </c>
      <c r="E39" s="1">
        <f t="shared" si="4"/>
        <v>295.83333333333331</v>
      </c>
      <c r="F39" s="1">
        <f t="shared" si="5"/>
        <v>-0.5</v>
      </c>
      <c r="G39" s="1">
        <f t="shared" si="1"/>
        <v>0.5</v>
      </c>
      <c r="H39" s="1">
        <f t="shared" si="2"/>
        <v>0.25</v>
      </c>
      <c r="I39" s="1">
        <f t="shared" si="3"/>
        <v>1.6930022573363433E-3</v>
      </c>
      <c r="J39" s="1">
        <f>AVERAGE(D3:D38)</f>
        <v>230.43055555555554</v>
      </c>
      <c r="K39" s="1">
        <f t="shared" si="6"/>
        <v>65.402777777777771</v>
      </c>
      <c r="L39" s="1">
        <f t="shared" si="11"/>
        <v>65.402777777777771</v>
      </c>
      <c r="M39" s="1">
        <f t="shared" si="7"/>
        <v>4277.523341049382</v>
      </c>
      <c r="N39" s="1">
        <f t="shared" si="8"/>
        <v>38631.24074074073</v>
      </c>
      <c r="O39" s="1"/>
      <c r="P39" s="1">
        <f t="shared" si="9"/>
        <v>295.83333333333331</v>
      </c>
      <c r="Q39" s="1">
        <f t="shared" si="13"/>
        <v>295.83333333333331</v>
      </c>
      <c r="R39" s="1">
        <f t="shared" si="10"/>
        <v>87517.361111111095</v>
      </c>
      <c r="S39" s="1">
        <f t="shared" si="12"/>
        <v>7.657878123012129E-3</v>
      </c>
    </row>
    <row r="40" spans="1:19" x14ac:dyDescent="0.25">
      <c r="A40" s="1">
        <v>1989</v>
      </c>
      <c r="B40" s="1">
        <v>3636</v>
      </c>
      <c r="C40" s="1">
        <v>12</v>
      </c>
      <c r="D40" s="1">
        <f t="shared" si="0"/>
        <v>303</v>
      </c>
      <c r="E40" s="1">
        <f t="shared" si="4"/>
        <v>295.33333333333331</v>
      </c>
      <c r="F40" s="1">
        <f t="shared" si="5"/>
        <v>7.6666666666666856</v>
      </c>
      <c r="G40" s="1">
        <f t="shared" si="1"/>
        <v>7.6666666666666856</v>
      </c>
      <c r="H40" s="1">
        <f t="shared" si="2"/>
        <v>58.77777777777807</v>
      </c>
      <c r="I40" s="1">
        <f t="shared" si="3"/>
        <v>2.5302530253025365E-2</v>
      </c>
      <c r="J40" s="1">
        <f>AVERAGE(D3:D39)</f>
        <v>232.1846846846847</v>
      </c>
      <c r="K40" s="1">
        <f t="shared" si="6"/>
        <v>63.148648648648617</v>
      </c>
      <c r="L40" s="1">
        <f t="shared" si="11"/>
        <v>63.148648648648617</v>
      </c>
      <c r="M40" s="1">
        <f t="shared" si="7"/>
        <v>3987.7518261504706</v>
      </c>
      <c r="N40" s="1">
        <f t="shared" si="8"/>
        <v>2495.7444183313673</v>
      </c>
      <c r="O40" s="1"/>
      <c r="P40" s="1">
        <f t="shared" si="9"/>
        <v>295.33333333333331</v>
      </c>
      <c r="Q40" s="1">
        <f t="shared" si="13"/>
        <v>295.33333333333331</v>
      </c>
      <c r="R40" s="1">
        <f t="shared" si="10"/>
        <v>87221.777777777766</v>
      </c>
      <c r="S40" s="1">
        <f t="shared" si="12"/>
        <v>0.11833476663880133</v>
      </c>
    </row>
    <row r="41" spans="1:19" x14ac:dyDescent="0.25">
      <c r="A41" s="1">
        <v>1990</v>
      </c>
      <c r="B41" s="1">
        <v>3437</v>
      </c>
      <c r="C41" s="1">
        <v>12</v>
      </c>
      <c r="D41" s="1">
        <f t="shared" si="0"/>
        <v>286.41666666666669</v>
      </c>
      <c r="E41" s="1">
        <f t="shared" si="4"/>
        <v>303</v>
      </c>
      <c r="F41" s="1">
        <f t="shared" si="5"/>
        <v>-16.583333333333314</v>
      </c>
      <c r="G41" s="1">
        <f t="shared" si="1"/>
        <v>16.583333333333314</v>
      </c>
      <c r="H41" s="1">
        <f t="shared" si="2"/>
        <v>275.00694444444383</v>
      </c>
      <c r="I41" s="1">
        <f t="shared" si="3"/>
        <v>5.7899330811754364E-2</v>
      </c>
      <c r="J41" s="1">
        <f>AVERAGE(D3:D40)</f>
        <v>234.0482456140351</v>
      </c>
      <c r="K41" s="1">
        <f t="shared" si="6"/>
        <v>68.951754385964904</v>
      </c>
      <c r="L41" s="1">
        <f t="shared" si="11"/>
        <v>68.951754385964904</v>
      </c>
      <c r="M41" s="1">
        <f t="shared" si="7"/>
        <v>4754.3444329024305</v>
      </c>
      <c r="N41" s="1">
        <f t="shared" si="8"/>
        <v>1190.8903508771944</v>
      </c>
      <c r="O41" s="1"/>
      <c r="P41" s="1">
        <f t="shared" si="9"/>
        <v>303</v>
      </c>
      <c r="Q41" s="1">
        <f t="shared" si="13"/>
        <v>303</v>
      </c>
      <c r="R41" s="1">
        <f t="shared" si="10"/>
        <v>91809</v>
      </c>
      <c r="S41" s="1">
        <f t="shared" si="12"/>
        <v>0.25443148462561155</v>
      </c>
    </row>
    <row r="42" spans="1:19" x14ac:dyDescent="0.25">
      <c r="A42" s="1">
        <v>1991</v>
      </c>
      <c r="B42" s="1">
        <v>3205</v>
      </c>
      <c r="C42" s="1">
        <v>12</v>
      </c>
      <c r="D42" s="1">
        <f t="shared" si="0"/>
        <v>267.08333333333331</v>
      </c>
      <c r="E42" s="1">
        <f t="shared" si="4"/>
        <v>286.41666666666669</v>
      </c>
      <c r="F42" s="1">
        <f t="shared" si="5"/>
        <v>-19.333333333333371</v>
      </c>
      <c r="G42" s="1">
        <f t="shared" si="1"/>
        <v>19.333333333333371</v>
      </c>
      <c r="H42" s="1">
        <f t="shared" si="2"/>
        <v>373.77777777777925</v>
      </c>
      <c r="I42" s="1">
        <f t="shared" si="3"/>
        <v>7.2386895475819182E-2</v>
      </c>
      <c r="J42" s="1">
        <f>AVERAGE(D3:D41)</f>
        <v>235.39102564102564</v>
      </c>
      <c r="K42" s="1">
        <f t="shared" si="6"/>
        <v>51.02564102564105</v>
      </c>
      <c r="L42" s="1">
        <f t="shared" si="11"/>
        <v>51.02564102564105</v>
      </c>
      <c r="M42" s="1">
        <f t="shared" si="7"/>
        <v>2603.6160420775832</v>
      </c>
      <c r="N42" s="1">
        <f t="shared" si="8"/>
        <v>704.9016357206001</v>
      </c>
      <c r="O42" s="1"/>
      <c r="P42" s="1">
        <f t="shared" si="9"/>
        <v>286.41666666666669</v>
      </c>
      <c r="Q42" s="1">
        <f t="shared" si="13"/>
        <v>286.41666666666669</v>
      </c>
      <c r="R42" s="1">
        <f t="shared" si="10"/>
        <v>82034.506944444453</v>
      </c>
      <c r="S42" s="1">
        <f t="shared" si="12"/>
        <v>0.4063214669290296</v>
      </c>
    </row>
    <row r="43" spans="1:19" x14ac:dyDescent="0.25">
      <c r="A43" s="1">
        <v>1992</v>
      </c>
      <c r="B43" s="1">
        <v>2793</v>
      </c>
      <c r="C43" s="1">
        <v>12</v>
      </c>
      <c r="D43" s="1">
        <f t="shared" si="0"/>
        <v>232.75</v>
      </c>
      <c r="E43" s="1">
        <f t="shared" si="4"/>
        <v>267.08333333333331</v>
      </c>
      <c r="F43" s="1">
        <f t="shared" si="5"/>
        <v>-34.333333333333314</v>
      </c>
      <c r="G43" s="1">
        <f t="shared" si="1"/>
        <v>34.333333333333314</v>
      </c>
      <c r="H43" s="1">
        <f t="shared" si="2"/>
        <v>1178.7777777777765</v>
      </c>
      <c r="I43" s="1">
        <f t="shared" si="3"/>
        <v>0.14751163623344066</v>
      </c>
      <c r="J43" s="1">
        <f>AVERAGE(D3:D42)</f>
        <v>236.18333333333334</v>
      </c>
      <c r="K43" s="1">
        <f t="shared" si="6"/>
        <v>30.899999999999977</v>
      </c>
      <c r="L43" s="1">
        <f t="shared" si="11"/>
        <v>30.899999999999977</v>
      </c>
      <c r="M43" s="1">
        <f t="shared" si="7"/>
        <v>954.80999999999858</v>
      </c>
      <c r="N43" s="1">
        <f t="shared" si="8"/>
        <v>209.47499999999997</v>
      </c>
      <c r="O43" s="1"/>
      <c r="P43" s="1">
        <f t="shared" si="9"/>
        <v>267.08333333333331</v>
      </c>
      <c r="Q43" s="1">
        <f t="shared" si="13"/>
        <v>267.08333333333331</v>
      </c>
      <c r="R43" s="1">
        <f t="shared" si="10"/>
        <v>71333.506944444438</v>
      </c>
      <c r="S43" s="1">
        <f t="shared" si="12"/>
        <v>1.2750129291482677</v>
      </c>
    </row>
    <row r="44" spans="1:19" x14ac:dyDescent="0.25">
      <c r="A44" s="1">
        <v>1993</v>
      </c>
      <c r="B44" s="1">
        <v>2741</v>
      </c>
      <c r="C44" s="1">
        <v>12</v>
      </c>
      <c r="D44" s="1">
        <f t="shared" si="0"/>
        <v>228.41666666666666</v>
      </c>
      <c r="E44" s="1">
        <f t="shared" si="4"/>
        <v>232.75</v>
      </c>
      <c r="F44" s="1">
        <f t="shared" si="5"/>
        <v>-4.3333333333333428</v>
      </c>
      <c r="G44" s="1">
        <f t="shared" si="1"/>
        <v>4.3333333333333428</v>
      </c>
      <c r="H44" s="1">
        <f t="shared" si="2"/>
        <v>18.77777777777786</v>
      </c>
      <c r="I44" s="1">
        <f t="shared" si="3"/>
        <v>1.8971178402043092E-2</v>
      </c>
      <c r="J44" s="1">
        <f>AVERAGE(D3:D43)</f>
        <v>236.09959349593498</v>
      </c>
      <c r="K44" s="1">
        <f t="shared" si="6"/>
        <v>-3.3495934959349825</v>
      </c>
      <c r="L44" s="1">
        <f t="shared" si="11"/>
        <v>3.3495934959349825</v>
      </c>
      <c r="M44" s="1">
        <f t="shared" si="7"/>
        <v>11.219776588009937</v>
      </c>
      <c r="N44" s="1">
        <f t="shared" si="8"/>
        <v>176.56222639149553</v>
      </c>
      <c r="O44" s="1"/>
      <c r="P44" s="1">
        <f t="shared" si="9"/>
        <v>232.75</v>
      </c>
      <c r="Q44" s="1">
        <f t="shared" si="13"/>
        <v>232.75</v>
      </c>
      <c r="R44" s="1">
        <f t="shared" si="10"/>
        <v>54172.5625</v>
      </c>
      <c r="S44" s="1">
        <f t="shared" si="12"/>
        <v>1.3182321312822485</v>
      </c>
    </row>
    <row r="45" spans="1:19" x14ac:dyDescent="0.25">
      <c r="A45" s="1">
        <v>1994</v>
      </c>
      <c r="B45" s="1">
        <v>2923</v>
      </c>
      <c r="C45" s="1">
        <v>12</v>
      </c>
      <c r="D45" s="1">
        <f t="shared" si="0"/>
        <v>243.58333333333334</v>
      </c>
      <c r="E45" s="1">
        <f t="shared" si="4"/>
        <v>228.41666666666666</v>
      </c>
      <c r="F45" s="1">
        <f t="shared" si="5"/>
        <v>15.166666666666686</v>
      </c>
      <c r="G45" s="1">
        <f t="shared" si="1"/>
        <v>15.166666666666686</v>
      </c>
      <c r="H45" s="1">
        <f t="shared" si="2"/>
        <v>230.02777777777834</v>
      </c>
      <c r="I45" s="1">
        <f t="shared" si="3"/>
        <v>6.2264796442011709E-2</v>
      </c>
      <c r="J45" s="1">
        <f>AVERAGE(D3:D44)</f>
        <v>235.91666666666666</v>
      </c>
      <c r="K45" s="1">
        <f t="shared" si="6"/>
        <v>-7.5</v>
      </c>
      <c r="L45" s="1">
        <f t="shared" si="11"/>
        <v>7.5</v>
      </c>
      <c r="M45" s="1">
        <f t="shared" si="7"/>
        <v>56.25</v>
      </c>
      <c r="N45" s="1">
        <f t="shared" si="8"/>
        <v>120.45329670329656</v>
      </c>
      <c r="O45" s="1"/>
      <c r="P45" s="1">
        <f t="shared" si="9"/>
        <v>228.41666666666666</v>
      </c>
      <c r="Q45" s="1">
        <f t="shared" si="13"/>
        <v>228.41666666666666</v>
      </c>
      <c r="R45" s="1">
        <f t="shared" si="10"/>
        <v>52174.173611111109</v>
      </c>
      <c r="S45" s="1">
        <f t="shared" si="12"/>
        <v>1.8963089671950453</v>
      </c>
    </row>
    <row r="46" spans="1:19" x14ac:dyDescent="0.25">
      <c r="A46" s="1">
        <v>1995</v>
      </c>
      <c r="B46" s="1">
        <v>3074</v>
      </c>
      <c r="C46" s="1">
        <v>12</v>
      </c>
      <c r="D46" s="1">
        <f t="shared" si="0"/>
        <v>256.16666666666669</v>
      </c>
      <c r="E46" s="1">
        <f t="shared" si="4"/>
        <v>243.58333333333334</v>
      </c>
      <c r="F46" s="1">
        <f t="shared" si="5"/>
        <v>12.583333333333343</v>
      </c>
      <c r="G46" s="1">
        <f t="shared" si="1"/>
        <v>12.583333333333343</v>
      </c>
      <c r="H46" s="1">
        <f t="shared" si="2"/>
        <v>158.34027777777803</v>
      </c>
      <c r="I46" s="1">
        <f t="shared" si="3"/>
        <v>4.9121665582303221E-2</v>
      </c>
      <c r="J46" s="1">
        <f>AVERAGE(D3:D45)</f>
        <v>236.09496124031008</v>
      </c>
      <c r="K46" s="1">
        <f t="shared" si="6"/>
        <v>7.4883720930232585</v>
      </c>
      <c r="L46" s="1">
        <f t="shared" si="11"/>
        <v>7.4883720930232585</v>
      </c>
      <c r="M46" s="1">
        <f t="shared" si="7"/>
        <v>56.075716603569539</v>
      </c>
      <c r="N46" s="1">
        <f t="shared" si="8"/>
        <v>152.44540274141377</v>
      </c>
      <c r="O46" s="1"/>
      <c r="P46" s="1">
        <f t="shared" si="9"/>
        <v>243.58333333333334</v>
      </c>
      <c r="Q46" s="1">
        <f t="shared" si="13"/>
        <v>243.58333333333334</v>
      </c>
      <c r="R46" s="1">
        <f t="shared" si="10"/>
        <v>59332.840277777781</v>
      </c>
      <c r="S46" s="1">
        <f t="shared" si="12"/>
        <v>1.5978398098794275</v>
      </c>
    </row>
    <row r="47" spans="1:19" x14ac:dyDescent="0.25">
      <c r="A47" s="1">
        <v>1996</v>
      </c>
      <c r="B47" s="1">
        <v>3237</v>
      </c>
      <c r="C47" s="1">
        <v>12</v>
      </c>
      <c r="D47" s="1">
        <f t="shared" si="0"/>
        <v>269.75</v>
      </c>
      <c r="E47" s="1">
        <f t="shared" si="4"/>
        <v>256.16666666666669</v>
      </c>
      <c r="F47" s="1">
        <f t="shared" si="5"/>
        <v>13.583333333333314</v>
      </c>
      <c r="G47" s="1">
        <f t="shared" si="1"/>
        <v>13.583333333333314</v>
      </c>
      <c r="H47" s="1">
        <f t="shared" si="2"/>
        <v>184.50694444444392</v>
      </c>
      <c r="I47" s="1">
        <f t="shared" si="3"/>
        <v>5.0355267222737032E-2</v>
      </c>
      <c r="J47" s="1">
        <f>AVERAGE(D3:D46)</f>
        <v>236.55113636363637</v>
      </c>
      <c r="K47" s="1">
        <f t="shared" si="6"/>
        <v>19.615530303030312</v>
      </c>
      <c r="L47" s="1">
        <f t="shared" si="11"/>
        <v>19.615530303030312</v>
      </c>
      <c r="M47" s="1">
        <f t="shared" si="7"/>
        <v>384.76902906910044</v>
      </c>
      <c r="N47" s="1">
        <f t="shared" si="8"/>
        <v>389.54277049637551</v>
      </c>
      <c r="O47" s="1"/>
      <c r="P47" s="1">
        <f t="shared" si="9"/>
        <v>256.16666666666669</v>
      </c>
      <c r="Q47" s="1">
        <f t="shared" si="13"/>
        <v>256.16666666666669</v>
      </c>
      <c r="R47" s="1">
        <f t="shared" si="10"/>
        <v>65621.361111111124</v>
      </c>
      <c r="S47" s="1">
        <f t="shared" si="12"/>
        <v>0.65760857617828694</v>
      </c>
    </row>
    <row r="48" spans="1:19" x14ac:dyDescent="0.25">
      <c r="A48" s="1">
        <v>1997</v>
      </c>
      <c r="B48" s="1">
        <v>3585</v>
      </c>
      <c r="C48" s="1">
        <v>12</v>
      </c>
      <c r="D48" s="1">
        <f t="shared" si="0"/>
        <v>298.75</v>
      </c>
      <c r="E48" s="1">
        <f t="shared" si="4"/>
        <v>269.75</v>
      </c>
      <c r="F48" s="1">
        <f t="shared" si="5"/>
        <v>29</v>
      </c>
      <c r="G48" s="1">
        <f t="shared" si="1"/>
        <v>29</v>
      </c>
      <c r="H48" s="1">
        <f t="shared" si="2"/>
        <v>841</v>
      </c>
      <c r="I48" s="1">
        <f t="shared" si="3"/>
        <v>9.7071129707112971E-2</v>
      </c>
      <c r="J48" s="1">
        <f>AVERAGE(D3:D47)</f>
        <v>237.28888888888889</v>
      </c>
      <c r="K48" s="1">
        <f t="shared" si="6"/>
        <v>32.461111111111109</v>
      </c>
      <c r="L48" s="1">
        <f t="shared" si="11"/>
        <v>32.461111111111109</v>
      </c>
      <c r="M48" s="1">
        <f t="shared" si="7"/>
        <v>1053.7237345679011</v>
      </c>
      <c r="N48" s="1">
        <f t="shared" si="8"/>
        <v>334.40541187739461</v>
      </c>
      <c r="O48" s="1"/>
      <c r="P48" s="1">
        <f t="shared" si="9"/>
        <v>269.75</v>
      </c>
      <c r="Q48" s="1">
        <f t="shared" si="13"/>
        <v>269.75</v>
      </c>
      <c r="R48" s="1">
        <f t="shared" si="10"/>
        <v>72765.0625</v>
      </c>
      <c r="S48" s="1">
        <f t="shared" si="12"/>
        <v>0.80665560549869431</v>
      </c>
    </row>
    <row r="49" spans="1:19" x14ac:dyDescent="0.25">
      <c r="A49" s="1">
        <v>1998</v>
      </c>
      <c r="B49" s="1">
        <v>3733</v>
      </c>
      <c r="C49" s="1">
        <v>12</v>
      </c>
      <c r="D49" s="1">
        <f t="shared" si="0"/>
        <v>311.08333333333331</v>
      </c>
      <c r="E49" s="1">
        <f t="shared" si="4"/>
        <v>298.75</v>
      </c>
      <c r="F49" s="1">
        <f t="shared" si="5"/>
        <v>12.333333333333314</v>
      </c>
      <c r="G49" s="1">
        <f t="shared" si="1"/>
        <v>12.333333333333314</v>
      </c>
      <c r="H49" s="1">
        <f t="shared" si="2"/>
        <v>152.11111111111063</v>
      </c>
      <c r="I49" s="1">
        <f t="shared" si="3"/>
        <v>3.9646396999732061E-2</v>
      </c>
      <c r="J49" s="1">
        <f>AVERAGE(D3:D48)</f>
        <v>238.625</v>
      </c>
      <c r="K49" s="1">
        <f t="shared" si="6"/>
        <v>60.125</v>
      </c>
      <c r="L49" s="1">
        <f t="shared" si="11"/>
        <v>60.125</v>
      </c>
      <c r="M49" s="1">
        <f t="shared" si="7"/>
        <v>3615.015625</v>
      </c>
      <c r="N49" s="1">
        <f t="shared" si="8"/>
        <v>1516.5312500000023</v>
      </c>
      <c r="O49" s="1"/>
      <c r="P49" s="1">
        <f t="shared" si="9"/>
        <v>298.75</v>
      </c>
      <c r="Q49" s="1">
        <f t="shared" si="13"/>
        <v>298.75</v>
      </c>
      <c r="R49" s="1">
        <f t="shared" si="10"/>
        <v>89251.5625</v>
      </c>
      <c r="S49" s="1">
        <f t="shared" si="12"/>
        <v>0.19699561087184952</v>
      </c>
    </row>
    <row r="50" spans="1:19" x14ac:dyDescent="0.25">
      <c r="A50" s="1">
        <v>1999</v>
      </c>
      <c r="B50" s="1">
        <v>3754</v>
      </c>
      <c r="C50" s="1">
        <v>12</v>
      </c>
      <c r="D50" s="1">
        <f t="shared" si="0"/>
        <v>312.83333333333331</v>
      </c>
      <c r="E50" s="1">
        <f t="shared" si="4"/>
        <v>311.08333333333331</v>
      </c>
      <c r="F50" s="1">
        <f t="shared" si="5"/>
        <v>1.75</v>
      </c>
      <c r="G50" s="1">
        <f t="shared" si="1"/>
        <v>1.75</v>
      </c>
      <c r="H50" s="1">
        <f t="shared" si="2"/>
        <v>3.0625</v>
      </c>
      <c r="I50" s="1">
        <f t="shared" si="3"/>
        <v>5.5940330314331382E-3</v>
      </c>
      <c r="J50" s="1">
        <f>AVERAGE(D3:D49)</f>
        <v>240.16666666666669</v>
      </c>
      <c r="K50" s="1">
        <f t="shared" si="6"/>
        <v>70.916666666666629</v>
      </c>
      <c r="L50" s="1">
        <f t="shared" si="11"/>
        <v>70.916666666666629</v>
      </c>
      <c r="M50" s="1">
        <f t="shared" si="7"/>
        <v>5029.1736111111059</v>
      </c>
      <c r="N50" s="1">
        <f t="shared" si="8"/>
        <v>12677.198412698406</v>
      </c>
      <c r="O50" s="1"/>
      <c r="P50" s="1">
        <f t="shared" si="9"/>
        <v>311.08333333333331</v>
      </c>
      <c r="Q50" s="1">
        <f t="shared" si="13"/>
        <v>311.08333333333331</v>
      </c>
      <c r="R50" s="1">
        <f t="shared" si="10"/>
        <v>96772.840277777766</v>
      </c>
      <c r="S50" s="1">
        <f t="shared" si="12"/>
        <v>2.4538807645522812E-2</v>
      </c>
    </row>
    <row r="51" spans="1:19" x14ac:dyDescent="0.25">
      <c r="A51" s="1">
        <v>2000</v>
      </c>
      <c r="B51" s="1">
        <v>3898</v>
      </c>
      <c r="C51" s="1">
        <v>12</v>
      </c>
      <c r="D51" s="1">
        <f t="shared" si="0"/>
        <v>324.83333333333331</v>
      </c>
      <c r="E51" s="1">
        <f t="shared" si="4"/>
        <v>312.83333333333331</v>
      </c>
      <c r="F51" s="1">
        <f t="shared" si="5"/>
        <v>12</v>
      </c>
      <c r="G51" s="1">
        <f t="shared" si="1"/>
        <v>12</v>
      </c>
      <c r="H51" s="1">
        <f t="shared" si="2"/>
        <v>144</v>
      </c>
      <c r="I51" s="1">
        <f t="shared" si="3"/>
        <v>3.6942021549512573E-2</v>
      </c>
      <c r="J51" s="1">
        <f>AVERAGE(D3:D50)</f>
        <v>241.68055555555557</v>
      </c>
      <c r="K51" s="1">
        <f t="shared" si="6"/>
        <v>71.152777777777743</v>
      </c>
      <c r="L51" s="1">
        <f t="shared" si="11"/>
        <v>71.152777777777743</v>
      </c>
      <c r="M51" s="1">
        <f t="shared" si="7"/>
        <v>5062.7177854938218</v>
      </c>
      <c r="N51" s="1">
        <f t="shared" si="8"/>
        <v>1926.0661651234557</v>
      </c>
      <c r="O51" s="1"/>
      <c r="P51" s="1">
        <f t="shared" si="9"/>
        <v>312.83333333333331</v>
      </c>
      <c r="Q51" s="1">
        <f t="shared" si="13"/>
        <v>312.83333333333331</v>
      </c>
      <c r="R51" s="1">
        <f t="shared" si="10"/>
        <v>97864.694444444438</v>
      </c>
      <c r="S51" s="1">
        <f t="shared" si="12"/>
        <v>0.16242086538770673</v>
      </c>
    </row>
    <row r="52" spans="1:19" x14ac:dyDescent="0.25">
      <c r="A52" s="1">
        <v>2001</v>
      </c>
      <c r="B52" s="1">
        <v>4055</v>
      </c>
      <c r="C52" s="1">
        <v>12</v>
      </c>
      <c r="D52" s="1">
        <f t="shared" si="0"/>
        <v>337.91666666666669</v>
      </c>
      <c r="E52" s="1">
        <f t="shared" si="4"/>
        <v>324.83333333333331</v>
      </c>
      <c r="F52" s="1">
        <f t="shared" si="5"/>
        <v>13.083333333333371</v>
      </c>
      <c r="G52" s="1">
        <f t="shared" si="1"/>
        <v>13.083333333333371</v>
      </c>
      <c r="H52" s="1">
        <f t="shared" si="2"/>
        <v>171.17361111111211</v>
      </c>
      <c r="I52" s="1">
        <f t="shared" si="3"/>
        <v>3.8717632552404548E-2</v>
      </c>
      <c r="J52" s="1">
        <f>AVERAGE(D3:D51)</f>
        <v>243.37755102040819</v>
      </c>
      <c r="K52" s="1">
        <f t="shared" si="6"/>
        <v>81.455782312925123</v>
      </c>
      <c r="L52" s="1">
        <f t="shared" si="11"/>
        <v>81.455782312925123</v>
      </c>
      <c r="M52" s="1">
        <f t="shared" si="7"/>
        <v>6635.0444722106449</v>
      </c>
      <c r="N52" s="1">
        <f t="shared" si="8"/>
        <v>2103.8420208847801</v>
      </c>
      <c r="O52" s="1"/>
      <c r="P52" s="1">
        <f t="shared" si="9"/>
        <v>324.83333333333331</v>
      </c>
      <c r="Q52" s="1">
        <f t="shared" si="13"/>
        <v>324.83333333333331</v>
      </c>
      <c r="R52" s="1">
        <f t="shared" si="10"/>
        <v>105516.69444444444</v>
      </c>
      <c r="S52" s="1">
        <f t="shared" si="12"/>
        <v>0.15440005956185018</v>
      </c>
    </row>
    <row r="53" spans="1:19" x14ac:dyDescent="0.25">
      <c r="A53" s="1">
        <v>2002</v>
      </c>
      <c r="B53" s="1">
        <v>3958</v>
      </c>
      <c r="C53" s="1">
        <v>12</v>
      </c>
      <c r="D53" s="1">
        <f t="shared" si="0"/>
        <v>329.83333333333331</v>
      </c>
      <c r="E53" s="1">
        <f t="shared" si="4"/>
        <v>337.91666666666669</v>
      </c>
      <c r="F53" s="1">
        <f t="shared" si="5"/>
        <v>-8.0833333333333712</v>
      </c>
      <c r="G53" s="1">
        <f t="shared" si="1"/>
        <v>8.0833333333333712</v>
      </c>
      <c r="H53" s="1">
        <f t="shared" si="2"/>
        <v>65.340277777778397</v>
      </c>
      <c r="I53" s="1">
        <f t="shared" si="3"/>
        <v>2.4507326932794456E-2</v>
      </c>
      <c r="J53" s="1">
        <f>AVERAGE(D3:D52)</f>
        <v>245.26833333333335</v>
      </c>
      <c r="K53" s="1">
        <f t="shared" si="6"/>
        <v>92.648333333333341</v>
      </c>
      <c r="L53" s="1">
        <f t="shared" si="11"/>
        <v>92.648333333333341</v>
      </c>
      <c r="M53" s="1">
        <f t="shared" si="7"/>
        <v>8583.7136694444453</v>
      </c>
      <c r="N53" s="1">
        <f t="shared" si="8"/>
        <v>3780.4340549828003</v>
      </c>
      <c r="O53" s="1"/>
      <c r="P53" s="1">
        <f t="shared" si="9"/>
        <v>337.91666666666669</v>
      </c>
      <c r="Q53" s="1">
        <f t="shared" si="13"/>
        <v>337.91666666666669</v>
      </c>
      <c r="R53" s="1">
        <f t="shared" si="10"/>
        <v>114187.67361111112</v>
      </c>
      <c r="S53" s="1">
        <f t="shared" si="12"/>
        <v>8.9385679462197123E-2</v>
      </c>
    </row>
    <row r="54" spans="1:19" x14ac:dyDescent="0.25">
      <c r="A54" s="1">
        <v>2003</v>
      </c>
      <c r="B54" s="1">
        <v>4261</v>
      </c>
      <c r="C54" s="1">
        <v>12</v>
      </c>
      <c r="D54" s="1">
        <f t="shared" si="0"/>
        <v>355.08333333333331</v>
      </c>
      <c r="E54" s="1">
        <f t="shared" si="4"/>
        <v>329.83333333333331</v>
      </c>
      <c r="F54" s="1">
        <f t="shared" si="5"/>
        <v>25.25</v>
      </c>
      <c r="G54" s="1">
        <f t="shared" si="1"/>
        <v>25.25</v>
      </c>
      <c r="H54" s="1">
        <f t="shared" si="2"/>
        <v>637.5625</v>
      </c>
      <c r="I54" s="1">
        <f t="shared" si="3"/>
        <v>7.1110068059141052E-2</v>
      </c>
      <c r="J54" s="1">
        <f>AVERAGE(D3:D53)</f>
        <v>246.92647058823533</v>
      </c>
      <c r="K54" s="1">
        <f t="shared" si="6"/>
        <v>82.906862745097982</v>
      </c>
      <c r="L54" s="1">
        <f t="shared" si="11"/>
        <v>82.906862745097982</v>
      </c>
      <c r="M54" s="1">
        <f t="shared" si="7"/>
        <v>6873.5478902345158</v>
      </c>
      <c r="N54" s="1">
        <f t="shared" si="8"/>
        <v>1165.8948586035065</v>
      </c>
      <c r="O54" s="1"/>
      <c r="P54" s="1">
        <f t="shared" si="9"/>
        <v>329.83333333333331</v>
      </c>
      <c r="Q54" s="1">
        <f t="shared" si="13"/>
        <v>329.83333333333331</v>
      </c>
      <c r="R54" s="1">
        <f t="shared" si="10"/>
        <v>108790.02777777777</v>
      </c>
      <c r="S54" s="1">
        <f t="shared" si="12"/>
        <v>0.28290143909580606</v>
      </c>
    </row>
    <row r="55" spans="1:19" x14ac:dyDescent="0.25">
      <c r="A55" s="1">
        <v>2004</v>
      </c>
      <c r="B55" s="1">
        <v>4251</v>
      </c>
      <c r="C55" s="1">
        <v>12</v>
      </c>
      <c r="D55" s="1">
        <f t="shared" si="0"/>
        <v>354.25</v>
      </c>
      <c r="E55" s="1">
        <f t="shared" si="4"/>
        <v>355.08333333333331</v>
      </c>
      <c r="F55" s="1">
        <f t="shared" si="5"/>
        <v>-0.83333333333331439</v>
      </c>
      <c r="G55" s="1">
        <f t="shared" si="1"/>
        <v>0.83333333333331439</v>
      </c>
      <c r="H55" s="1">
        <f t="shared" si="2"/>
        <v>0.69444444444441289</v>
      </c>
      <c r="I55" s="1">
        <f t="shared" si="3"/>
        <v>2.3523876734885376E-3</v>
      </c>
      <c r="J55" s="1">
        <f>AVERAGE(D3:D54)</f>
        <v>249.00641025641031</v>
      </c>
      <c r="K55" s="1">
        <f t="shared" si="6"/>
        <v>106.07692307692301</v>
      </c>
      <c r="L55" s="1">
        <f t="shared" si="11"/>
        <v>106.07692307692301</v>
      </c>
      <c r="M55" s="1">
        <f t="shared" si="7"/>
        <v>11252.313609467441</v>
      </c>
      <c r="N55" s="1">
        <f t="shared" si="8"/>
        <v>45093.300000000992</v>
      </c>
      <c r="O55" s="1"/>
      <c r="P55" s="1">
        <f t="shared" si="9"/>
        <v>355.08333333333331</v>
      </c>
      <c r="Q55" s="1">
        <f t="shared" si="13"/>
        <v>355.08333333333331</v>
      </c>
      <c r="R55" s="1">
        <f t="shared" si="10"/>
        <v>126084.17361111109</v>
      </c>
      <c r="S55" s="1">
        <f t="shared" si="12"/>
        <v>7.8744144547710088E-3</v>
      </c>
    </row>
    <row r="56" spans="1:19" x14ac:dyDescent="0.25">
      <c r="A56" s="1">
        <v>2005</v>
      </c>
      <c r="B56" s="1">
        <v>4364</v>
      </c>
      <c r="C56" s="1">
        <v>12</v>
      </c>
      <c r="D56" s="1">
        <f t="shared" si="0"/>
        <v>363.66666666666669</v>
      </c>
      <c r="E56" s="1">
        <f t="shared" si="4"/>
        <v>354.25</v>
      </c>
      <c r="F56" s="1">
        <f t="shared" si="5"/>
        <v>9.4166666666666856</v>
      </c>
      <c r="G56" s="1">
        <f t="shared" si="1"/>
        <v>9.4166666666666856</v>
      </c>
      <c r="H56" s="1">
        <f t="shared" si="2"/>
        <v>88.67361111111147</v>
      </c>
      <c r="I56" s="1">
        <f t="shared" si="3"/>
        <v>2.5893675527039466E-2</v>
      </c>
      <c r="J56" s="1">
        <f>AVERAGE(D3:D55)</f>
        <v>250.99213836477992</v>
      </c>
      <c r="K56" s="1">
        <f t="shared" si="6"/>
        <v>103.25786163522008</v>
      </c>
      <c r="L56" s="1">
        <f t="shared" si="11"/>
        <v>103.25786163522008</v>
      </c>
      <c r="M56" s="1">
        <f t="shared" si="7"/>
        <v>10662.185989478256</v>
      </c>
      <c r="N56" s="1">
        <f t="shared" si="8"/>
        <v>3987.7637891690224</v>
      </c>
      <c r="O56" s="1">
        <f>AVERAGE(D3:D55)</f>
        <v>250.99213836477992</v>
      </c>
      <c r="P56" s="1">
        <f t="shared" si="9"/>
        <v>103.25786163522008</v>
      </c>
      <c r="Q56" s="1">
        <f t="shared" si="13"/>
        <v>103.25786163522008</v>
      </c>
      <c r="R56" s="1">
        <f t="shared" si="10"/>
        <v>10662.185989478256</v>
      </c>
      <c r="S56" s="1">
        <f t="shared" si="12"/>
        <v>2.5893675527039466E-2</v>
      </c>
    </row>
    <row r="57" spans="1:19" x14ac:dyDescent="0.25">
      <c r="A57" s="1">
        <v>2006</v>
      </c>
      <c r="B57" s="1">
        <v>4492</v>
      </c>
      <c r="C57" s="1">
        <v>12</v>
      </c>
      <c r="D57" s="1">
        <f t="shared" si="0"/>
        <v>374.33333333333331</v>
      </c>
      <c r="E57" s="1">
        <f t="shared" si="4"/>
        <v>363.66666666666669</v>
      </c>
      <c r="F57" s="1">
        <f t="shared" si="5"/>
        <v>10.666666666666629</v>
      </c>
      <c r="G57" s="1">
        <f t="shared" si="1"/>
        <v>10.666666666666629</v>
      </c>
      <c r="H57" s="1">
        <f t="shared" si="2"/>
        <v>113.77777777777698</v>
      </c>
      <c r="I57" s="1">
        <f t="shared" si="3"/>
        <v>2.8495102404274164E-2</v>
      </c>
      <c r="J57" s="1">
        <f>AVERAGE(D3:D56)</f>
        <v>253.07870370370372</v>
      </c>
      <c r="K57" s="1">
        <f t="shared" si="6"/>
        <v>110.58796296296296</v>
      </c>
      <c r="L57" s="1">
        <f t="shared" si="11"/>
        <v>110.58796296296296</v>
      </c>
      <c r="M57" s="1">
        <f t="shared" si="7"/>
        <v>12229.697552297668</v>
      </c>
      <c r="N57" s="1">
        <f t="shared" si="8"/>
        <v>3880.9463252314954</v>
      </c>
      <c r="O57" s="1">
        <f>AVERAGE(D4:D56)</f>
        <v>254.8176100628931</v>
      </c>
      <c r="P57" s="1">
        <f t="shared" si="9"/>
        <v>108.84905660377359</v>
      </c>
      <c r="Q57" s="1">
        <f t="shared" si="13"/>
        <v>108.84905660377359</v>
      </c>
      <c r="R57" s="1">
        <f t="shared" si="10"/>
        <v>11848.117123531507</v>
      </c>
      <c r="S57" s="1">
        <f t="shared" si="12"/>
        <v>2.8047039943867511E-2</v>
      </c>
    </row>
    <row r="58" spans="1:19" x14ac:dyDescent="0.25">
      <c r="A58" s="1">
        <v>2007</v>
      </c>
      <c r="B58" s="1">
        <v>4636</v>
      </c>
      <c r="C58" s="1">
        <v>12</v>
      </c>
      <c r="D58" s="1">
        <f t="shared" si="0"/>
        <v>386.33333333333331</v>
      </c>
      <c r="E58" s="1">
        <f t="shared" si="4"/>
        <v>374.33333333333331</v>
      </c>
      <c r="F58" s="1">
        <f t="shared" si="5"/>
        <v>12</v>
      </c>
      <c r="G58" s="1">
        <f t="shared" si="1"/>
        <v>12</v>
      </c>
      <c r="H58" s="1">
        <f t="shared" si="2"/>
        <v>144</v>
      </c>
      <c r="I58" s="1">
        <f t="shared" si="3"/>
        <v>3.1061259706643661E-2</v>
      </c>
      <c r="J58" s="1">
        <f>AVERAGE(D3:D57)</f>
        <v>255.28333333333339</v>
      </c>
      <c r="K58" s="1">
        <f t="shared" si="6"/>
        <v>119.04999999999993</v>
      </c>
      <c r="L58" s="1">
        <f t="shared" si="11"/>
        <v>119.04999999999993</v>
      </c>
      <c r="M58" s="1">
        <f t="shared" si="7"/>
        <v>14172.902499999982</v>
      </c>
      <c r="N58" s="1">
        <f t="shared" si="8"/>
        <v>3832.7486111111084</v>
      </c>
      <c r="O58" s="1">
        <f>AVERAGE(D5:D57)</f>
        <v>258.92610062893084</v>
      </c>
      <c r="P58" s="1">
        <f t="shared" si="9"/>
        <v>115.40723270440247</v>
      </c>
      <c r="Q58" s="1">
        <f t="shared" si="13"/>
        <v>115.40723270440247</v>
      </c>
      <c r="R58" s="1">
        <f t="shared" si="10"/>
        <v>13318.829360488104</v>
      </c>
      <c r="S58" s="1">
        <f t="shared" si="12"/>
        <v>3.0110827610722448E-2</v>
      </c>
    </row>
    <row r="59" spans="1:19" x14ac:dyDescent="0.25">
      <c r="A59" s="1">
        <v>2008</v>
      </c>
      <c r="B59" s="1">
        <v>4822</v>
      </c>
      <c r="C59" s="1">
        <v>12</v>
      </c>
      <c r="D59" s="1">
        <f t="shared" si="0"/>
        <v>401.83333333333331</v>
      </c>
      <c r="E59" s="1">
        <f t="shared" si="4"/>
        <v>386.33333333333331</v>
      </c>
      <c r="F59" s="1">
        <f t="shared" si="5"/>
        <v>15.5</v>
      </c>
      <c r="G59" s="1">
        <f t="shared" si="1"/>
        <v>15.5</v>
      </c>
      <c r="H59" s="1">
        <f t="shared" si="2"/>
        <v>240.25</v>
      </c>
      <c r="I59" s="1">
        <f t="shared" si="3"/>
        <v>3.8573206138531733E-2</v>
      </c>
      <c r="J59" s="1">
        <f>AVERAGE(D3:D58)</f>
        <v>257.62351190476198</v>
      </c>
      <c r="K59" s="1">
        <f t="shared" si="6"/>
        <v>128.70982142857133</v>
      </c>
      <c r="L59" s="1">
        <f t="shared" si="11"/>
        <v>128.70982142857133</v>
      </c>
      <c r="M59" s="1">
        <f t="shared" si="7"/>
        <v>16566.218132174719</v>
      </c>
      <c r="N59" s="1">
        <f t="shared" si="8"/>
        <v>3336.7675211213491</v>
      </c>
      <c r="O59" s="1">
        <f t="shared" ref="O59:O76" si="14">AVERAGE(D6:D58)</f>
        <v>262.91981132075477</v>
      </c>
      <c r="P59" s="1">
        <f t="shared" si="9"/>
        <v>123.41352201257854</v>
      </c>
      <c r="Q59" s="1">
        <f t="shared" si="13"/>
        <v>123.41352201257854</v>
      </c>
      <c r="R59" s="1">
        <f t="shared" si="10"/>
        <v>15230.897415549207</v>
      </c>
      <c r="S59" s="1">
        <f t="shared" si="12"/>
        <v>3.6985951592787135E-2</v>
      </c>
    </row>
    <row r="60" spans="1:19" x14ac:dyDescent="0.25">
      <c r="A60" s="1">
        <v>2009</v>
      </c>
      <c r="B60" s="1">
        <v>4892</v>
      </c>
      <c r="C60" s="1">
        <v>12</v>
      </c>
      <c r="D60" s="1">
        <f t="shared" si="0"/>
        <v>407.66666666666669</v>
      </c>
      <c r="E60" s="1">
        <f t="shared" si="4"/>
        <v>401.83333333333331</v>
      </c>
      <c r="F60" s="1">
        <f t="shared" si="5"/>
        <v>5.8333333333333712</v>
      </c>
      <c r="G60" s="1">
        <f t="shared" si="1"/>
        <v>5.8333333333333712</v>
      </c>
      <c r="H60" s="1">
        <f t="shared" si="2"/>
        <v>34.027777777778219</v>
      </c>
      <c r="I60" s="1">
        <f t="shared" si="3"/>
        <v>1.4309076042518489E-2</v>
      </c>
      <c r="J60" s="1">
        <f>AVERAGE(D3:D59)</f>
        <v>260.15350877192986</v>
      </c>
      <c r="K60" s="1">
        <f t="shared" si="6"/>
        <v>141.67982456140345</v>
      </c>
      <c r="L60" s="1">
        <f t="shared" si="11"/>
        <v>141.67982456140345</v>
      </c>
      <c r="M60" s="1">
        <f t="shared" si="7"/>
        <v>20073.172687750059</v>
      </c>
      <c r="N60" s="1">
        <f t="shared" si="8"/>
        <v>9901.3957393483033</v>
      </c>
      <c r="O60" s="1">
        <f t="shared" si="14"/>
        <v>267.35220125786168</v>
      </c>
      <c r="P60" s="1">
        <f t="shared" si="9"/>
        <v>134.48113207547163</v>
      </c>
      <c r="Q60" s="1">
        <f t="shared" si="13"/>
        <v>134.48113207547163</v>
      </c>
      <c r="R60" s="1">
        <f t="shared" si="10"/>
        <v>18085.174884300446</v>
      </c>
      <c r="S60" s="1">
        <f t="shared" si="12"/>
        <v>1.3582037887955683E-2</v>
      </c>
    </row>
    <row r="61" spans="1:19" x14ac:dyDescent="0.25">
      <c r="A61" s="1">
        <v>2010</v>
      </c>
      <c r="B61" s="1">
        <v>4998</v>
      </c>
      <c r="C61" s="1">
        <v>12</v>
      </c>
      <c r="D61" s="1">
        <f t="shared" si="0"/>
        <v>416.5</v>
      </c>
      <c r="E61" s="1">
        <f t="shared" si="4"/>
        <v>407.66666666666669</v>
      </c>
      <c r="F61" s="1">
        <f t="shared" si="5"/>
        <v>8.8333333333333144</v>
      </c>
      <c r="G61" s="1">
        <f t="shared" si="1"/>
        <v>8.8333333333333144</v>
      </c>
      <c r="H61" s="1">
        <f t="shared" si="2"/>
        <v>78.027777777777445</v>
      </c>
      <c r="I61" s="1">
        <f t="shared" si="3"/>
        <v>2.1208483393357298E-2</v>
      </c>
      <c r="J61" s="1">
        <f>AVERAGE(D3:D60)</f>
        <v>262.69683908045982</v>
      </c>
      <c r="K61" s="1">
        <f t="shared" si="6"/>
        <v>144.96982758620686</v>
      </c>
      <c r="L61" s="1">
        <f t="shared" si="11"/>
        <v>144.96982758620686</v>
      </c>
      <c r="M61" s="1">
        <f t="shared" si="7"/>
        <v>21016.250910374543</v>
      </c>
      <c r="N61" s="1">
        <f t="shared" si="8"/>
        <v>6835.4641346779572</v>
      </c>
      <c r="O61" s="1">
        <f t="shared" si="14"/>
        <v>271.57547169811323</v>
      </c>
      <c r="P61" s="1">
        <f t="shared" si="9"/>
        <v>136.09119496855345</v>
      </c>
      <c r="Q61" s="1">
        <f t="shared" si="13"/>
        <v>136.09119496855345</v>
      </c>
      <c r="R61" s="1">
        <f t="shared" si="10"/>
        <v>18520.813347968829</v>
      </c>
      <c r="S61" s="1">
        <f t="shared" si="12"/>
        <v>1.9909576334126312E-2</v>
      </c>
    </row>
    <row r="62" spans="1:19" x14ac:dyDescent="0.25">
      <c r="A62" s="1">
        <v>2011</v>
      </c>
      <c r="B62" s="1">
        <v>5064</v>
      </c>
      <c r="C62" s="1">
        <v>12</v>
      </c>
      <c r="D62" s="1">
        <f t="shared" si="0"/>
        <v>422</v>
      </c>
      <c r="E62" s="1">
        <f t="shared" si="4"/>
        <v>416.5</v>
      </c>
      <c r="F62" s="1">
        <f t="shared" si="5"/>
        <v>5.5</v>
      </c>
      <c r="G62" s="1">
        <f t="shared" si="1"/>
        <v>5.5</v>
      </c>
      <c r="H62" s="1">
        <f t="shared" si="2"/>
        <v>30.25</v>
      </c>
      <c r="I62" s="1">
        <f t="shared" si="3"/>
        <v>1.3033175355450236E-2</v>
      </c>
      <c r="J62" s="1">
        <f>AVERAGE(D3:D61)</f>
        <v>265.30367231638422</v>
      </c>
      <c r="K62" s="1">
        <f t="shared" si="6"/>
        <v>151.19632768361578</v>
      </c>
      <c r="L62" s="1">
        <f t="shared" si="11"/>
        <v>151.19632768361578</v>
      </c>
      <c r="M62" s="1">
        <f t="shared" si="7"/>
        <v>22860.329505011319</v>
      </c>
      <c r="N62" s="1">
        <f t="shared" si="8"/>
        <v>11600.881869542884</v>
      </c>
      <c r="O62" s="1">
        <f t="shared" si="14"/>
        <v>275.65251572327048</v>
      </c>
      <c r="P62" s="1">
        <f t="shared" si="9"/>
        <v>140.84748427672952</v>
      </c>
      <c r="Q62" s="1">
        <f t="shared" si="13"/>
        <v>140.84748427672952</v>
      </c>
      <c r="R62" s="1">
        <f t="shared" si="10"/>
        <v>19838.013827083567</v>
      </c>
      <c r="S62" s="1">
        <f t="shared" si="12"/>
        <v>1.2141101500784389E-2</v>
      </c>
    </row>
    <row r="63" spans="1:19" x14ac:dyDescent="0.25">
      <c r="A63" s="1">
        <v>2012</v>
      </c>
      <c r="B63" s="1">
        <v>5250</v>
      </c>
      <c r="C63" s="1">
        <v>12</v>
      </c>
      <c r="D63" s="1">
        <f t="shared" si="0"/>
        <v>437.5</v>
      </c>
      <c r="E63" s="1">
        <f t="shared" si="4"/>
        <v>422</v>
      </c>
      <c r="F63" s="1">
        <f t="shared" si="5"/>
        <v>15.5</v>
      </c>
      <c r="G63" s="1">
        <f t="shared" si="1"/>
        <v>15.5</v>
      </c>
      <c r="H63" s="1">
        <f t="shared" si="2"/>
        <v>240.25</v>
      </c>
      <c r="I63" s="1">
        <f t="shared" si="3"/>
        <v>3.5428571428571427E-2</v>
      </c>
      <c r="J63" s="1">
        <f>AVERAGE(D3:D62)</f>
        <v>267.91527777777782</v>
      </c>
      <c r="K63" s="1">
        <f t="shared" si="6"/>
        <v>154.08472222222218</v>
      </c>
      <c r="L63" s="1">
        <f t="shared" si="11"/>
        <v>154.08472222222218</v>
      </c>
      <c r="M63" s="1">
        <f t="shared" si="7"/>
        <v>23742.101622299371</v>
      </c>
      <c r="N63" s="1">
        <f t="shared" si="8"/>
        <v>4349.1655465949807</v>
      </c>
      <c r="O63" s="1">
        <f t="shared" si="14"/>
        <v>279.67452830188682</v>
      </c>
      <c r="P63" s="1">
        <f t="shared" si="9"/>
        <v>142.32547169811318</v>
      </c>
      <c r="Q63" s="1">
        <f t="shared" si="13"/>
        <v>142.32547169811318</v>
      </c>
      <c r="R63" s="1">
        <f t="shared" si="10"/>
        <v>20256.539894090416</v>
      </c>
      <c r="S63" s="1">
        <f t="shared" si="12"/>
        <v>3.2724776781500459E-2</v>
      </c>
    </row>
    <row r="64" spans="1:19" x14ac:dyDescent="0.25">
      <c r="A64" s="1">
        <v>2013</v>
      </c>
      <c r="B64" s="1">
        <v>5508</v>
      </c>
      <c r="C64" s="1">
        <v>12</v>
      </c>
      <c r="D64" s="1">
        <f t="shared" si="0"/>
        <v>459</v>
      </c>
      <c r="E64" s="1">
        <f t="shared" si="4"/>
        <v>437.5</v>
      </c>
      <c r="F64" s="1">
        <f t="shared" si="5"/>
        <v>21.5</v>
      </c>
      <c r="G64" s="1">
        <f t="shared" si="1"/>
        <v>21.5</v>
      </c>
      <c r="H64" s="1">
        <f t="shared" si="2"/>
        <v>462.25</v>
      </c>
      <c r="I64" s="1">
        <f t="shared" si="3"/>
        <v>4.6840958605664486E-2</v>
      </c>
      <c r="J64" s="1">
        <f>AVERAGE(D3:D63)</f>
        <v>270.69535519125691</v>
      </c>
      <c r="K64" s="1">
        <f t="shared" si="6"/>
        <v>166.80464480874309</v>
      </c>
      <c r="L64" s="1">
        <f t="shared" si="11"/>
        <v>166.80464480874309</v>
      </c>
      <c r="M64" s="1">
        <f t="shared" si="7"/>
        <v>27823.789529770944</v>
      </c>
      <c r="N64" s="1">
        <f t="shared" si="8"/>
        <v>3561.0852077773525</v>
      </c>
      <c r="O64" s="1">
        <f t="shared" si="14"/>
        <v>283.80188679245282</v>
      </c>
      <c r="P64" s="1">
        <f t="shared" si="9"/>
        <v>153.69811320754718</v>
      </c>
      <c r="Q64" s="1">
        <f t="shared" si="13"/>
        <v>153.69811320754718</v>
      </c>
      <c r="R64" s="1">
        <f t="shared" si="10"/>
        <v>23623.110003559988</v>
      </c>
      <c r="S64" s="1">
        <f t="shared" si="12"/>
        <v>4.3160470541921597E-2</v>
      </c>
    </row>
    <row r="65" spans="1:19" x14ac:dyDescent="0.25">
      <c r="A65" s="1">
        <v>2014</v>
      </c>
      <c r="B65" s="1">
        <v>5812</v>
      </c>
      <c r="C65" s="1">
        <v>12</v>
      </c>
      <c r="D65" s="1">
        <f t="shared" si="0"/>
        <v>484.33333333333331</v>
      </c>
      <c r="E65" s="1">
        <f t="shared" si="4"/>
        <v>459</v>
      </c>
      <c r="F65" s="1">
        <f t="shared" si="5"/>
        <v>25.333333333333314</v>
      </c>
      <c r="G65" s="1">
        <f t="shared" si="1"/>
        <v>25.333333333333314</v>
      </c>
      <c r="H65" s="1">
        <f t="shared" si="2"/>
        <v>641.77777777777681</v>
      </c>
      <c r="I65" s="1">
        <f t="shared" si="3"/>
        <v>5.2305574673090119E-2</v>
      </c>
      <c r="J65" s="1">
        <f>AVERAGE(D3:D64)</f>
        <v>273.7325268817205</v>
      </c>
      <c r="K65" s="1">
        <f t="shared" si="6"/>
        <v>185.2674731182795</v>
      </c>
      <c r="L65" s="1">
        <f t="shared" si="11"/>
        <v>185.2674731182795</v>
      </c>
      <c r="M65" s="1">
        <f t="shared" si="7"/>
        <v>34324.036595632417</v>
      </c>
      <c r="N65" s="1">
        <f t="shared" si="8"/>
        <v>3542.0215584323723</v>
      </c>
      <c r="O65" s="1">
        <f t="shared" si="14"/>
        <v>288.25786163522014</v>
      </c>
      <c r="P65" s="1">
        <f t="shared" si="9"/>
        <v>170.74213836477986</v>
      </c>
      <c r="Q65" s="1">
        <f t="shared" si="13"/>
        <v>170.74213836477986</v>
      </c>
      <c r="R65" s="1">
        <f t="shared" si="10"/>
        <v>29152.877813377632</v>
      </c>
      <c r="S65" s="1">
        <f t="shared" si="12"/>
        <v>4.820471460945791E-2</v>
      </c>
    </row>
    <row r="66" spans="1:19" x14ac:dyDescent="0.25">
      <c r="A66" s="1">
        <v>2015</v>
      </c>
      <c r="B66" s="1">
        <v>5905</v>
      </c>
      <c r="C66" s="1">
        <v>12</v>
      </c>
      <c r="D66" s="1">
        <f t="shared" si="0"/>
        <v>492.08333333333331</v>
      </c>
      <c r="E66" s="1">
        <f t="shared" si="4"/>
        <v>484.33333333333331</v>
      </c>
      <c r="F66" s="1">
        <f t="shared" si="5"/>
        <v>7.75</v>
      </c>
      <c r="G66" s="1">
        <f t="shared" si="1"/>
        <v>7.75</v>
      </c>
      <c r="H66" s="1">
        <f t="shared" si="2"/>
        <v>60.0625</v>
      </c>
      <c r="I66" s="1">
        <f t="shared" si="3"/>
        <v>1.5749364944961899E-2</v>
      </c>
      <c r="J66" s="1">
        <f>AVERAGE(D3:D65)</f>
        <v>277.07539682539687</v>
      </c>
      <c r="K66" s="1">
        <f t="shared" si="6"/>
        <v>207.25793650793645</v>
      </c>
      <c r="L66" s="1">
        <f t="shared" si="11"/>
        <v>207.25793650793645</v>
      </c>
      <c r="M66" s="1">
        <f t="shared" si="7"/>
        <v>42955.852245527814</v>
      </c>
      <c r="N66" s="1">
        <f t="shared" si="8"/>
        <v>13159.764678272737</v>
      </c>
      <c r="O66" s="1">
        <f t="shared" si="14"/>
        <v>293.32704402515731</v>
      </c>
      <c r="P66" s="1">
        <f t="shared" si="9"/>
        <v>191.00628930817601</v>
      </c>
      <c r="Q66" s="1">
        <f t="shared" si="13"/>
        <v>191.00628930817601</v>
      </c>
      <c r="R66" s="1">
        <f t="shared" si="10"/>
        <v>36483.402555278633</v>
      </c>
      <c r="S66" s="1">
        <f t="shared" si="12"/>
        <v>1.4514415263331762E-2</v>
      </c>
    </row>
    <row r="67" spans="1:19" x14ac:dyDescent="0.25">
      <c r="A67" s="1">
        <v>2016</v>
      </c>
      <c r="B67" s="1">
        <v>6182</v>
      </c>
      <c r="C67" s="1">
        <v>12</v>
      </c>
      <c r="D67" s="1">
        <f t="shared" si="0"/>
        <v>515.16666666666663</v>
      </c>
      <c r="E67" s="1">
        <f t="shared" si="4"/>
        <v>492.08333333333331</v>
      </c>
      <c r="F67" s="1">
        <f t="shared" si="5"/>
        <v>23.083333333333314</v>
      </c>
      <c r="G67" s="1">
        <f t="shared" si="1"/>
        <v>23.083333333333314</v>
      </c>
      <c r="H67" s="1">
        <f t="shared" si="2"/>
        <v>532.84027777777692</v>
      </c>
      <c r="I67" s="1">
        <f t="shared" si="3"/>
        <v>4.4807505661598156E-2</v>
      </c>
      <c r="J67" s="1">
        <f>AVERAGE(D3:D66)</f>
        <v>280.43489583333337</v>
      </c>
      <c r="K67" s="1">
        <f t="shared" si="6"/>
        <v>211.64843749999994</v>
      </c>
      <c r="L67" s="1">
        <f t="shared" si="11"/>
        <v>211.64843749999994</v>
      </c>
      <c r="M67" s="1">
        <f t="shared" si="7"/>
        <v>44795.061096191384</v>
      </c>
      <c r="N67" s="1">
        <f t="shared" si="8"/>
        <v>4723.5041177797857</v>
      </c>
      <c r="O67" s="1">
        <f t="shared" si="14"/>
        <v>298.83018867924534</v>
      </c>
      <c r="P67" s="1">
        <f t="shared" si="9"/>
        <v>193.25314465408798</v>
      </c>
      <c r="Q67" s="1">
        <f t="shared" si="13"/>
        <v>193.25314465408798</v>
      </c>
      <c r="R67" s="1">
        <f t="shared" si="10"/>
        <v>37346.77791869385</v>
      </c>
      <c r="S67" s="1">
        <f t="shared" si="12"/>
        <v>4.0913089061712052E-2</v>
      </c>
    </row>
    <row r="68" spans="1:19" x14ac:dyDescent="0.25">
      <c r="A68" s="1">
        <v>2017</v>
      </c>
      <c r="B68" s="1">
        <v>6525</v>
      </c>
      <c r="C68" s="1">
        <v>12</v>
      </c>
      <c r="D68" s="1">
        <f t="shared" si="0"/>
        <v>543.75</v>
      </c>
      <c r="E68" s="1">
        <f t="shared" si="4"/>
        <v>515.16666666666663</v>
      </c>
      <c r="F68" s="1">
        <f t="shared" si="5"/>
        <v>28.583333333333371</v>
      </c>
      <c r="G68" s="1">
        <f t="shared" si="1"/>
        <v>28.583333333333371</v>
      </c>
      <c r="H68" s="1">
        <f t="shared" si="2"/>
        <v>817.00694444444662</v>
      </c>
      <c r="I68" s="1">
        <f t="shared" si="3"/>
        <v>5.2567049808429189E-2</v>
      </c>
      <c r="J68" s="1">
        <f>AVERAGE(D3:D67)</f>
        <v>284.04615384615391</v>
      </c>
      <c r="K68" s="1">
        <f t="shared" si="6"/>
        <v>231.12051282051272</v>
      </c>
      <c r="L68" s="1">
        <f t="shared" si="11"/>
        <v>231.12051282051272</v>
      </c>
      <c r="M68" s="1">
        <f t="shared" si="7"/>
        <v>53416.691446416786</v>
      </c>
      <c r="N68" s="1">
        <f t="shared" si="8"/>
        <v>4396.6803094864244</v>
      </c>
      <c r="O68" s="1">
        <f t="shared" si="14"/>
        <v>304.98270440251576</v>
      </c>
      <c r="P68" s="1">
        <f t="shared" si="9"/>
        <v>210.18396226415086</v>
      </c>
      <c r="Q68" s="1">
        <f t="shared" si="13"/>
        <v>210.18396226415086</v>
      </c>
      <c r="R68" s="1">
        <f t="shared" si="10"/>
        <v>44177.297993057997</v>
      </c>
      <c r="S68" s="1">
        <f t="shared" si="12"/>
        <v>4.7805150128985022E-2</v>
      </c>
    </row>
    <row r="69" spans="1:19" x14ac:dyDescent="0.25">
      <c r="A69" s="1">
        <v>2018</v>
      </c>
      <c r="B69" s="1">
        <v>6614</v>
      </c>
      <c r="C69" s="1">
        <v>12</v>
      </c>
      <c r="D69" s="1">
        <f t="shared" ref="D69:D76" si="15">B69/C69</f>
        <v>551.16666666666663</v>
      </c>
      <c r="E69" s="1">
        <f t="shared" si="4"/>
        <v>543.75</v>
      </c>
      <c r="F69" s="1">
        <f t="shared" si="5"/>
        <v>7.4166666666666288</v>
      </c>
      <c r="G69" s="1">
        <f t="shared" ref="G69:G76" si="16">ABS(F69)</f>
        <v>7.4166666666666288</v>
      </c>
      <c r="H69" s="1">
        <f t="shared" ref="H69:H76" si="17">F69^2</f>
        <v>55.006944444443882</v>
      </c>
      <c r="I69" s="1">
        <f t="shared" ref="I69:I76" si="18">ABS(F69/D69)</f>
        <v>1.3456304807982999E-2</v>
      </c>
      <c r="J69" s="1">
        <f>AVERAGE(D3:D68)</f>
        <v>287.98106060606068</v>
      </c>
      <c r="K69" s="1">
        <f t="shared" si="6"/>
        <v>255.76893939393932</v>
      </c>
      <c r="L69" s="1">
        <f t="shared" si="11"/>
        <v>255.76893939393932</v>
      </c>
      <c r="M69" s="1">
        <f t="shared" si="7"/>
        <v>65417.750358700607</v>
      </c>
      <c r="N69" s="1">
        <f t="shared" si="8"/>
        <v>19007.368147769925</v>
      </c>
      <c r="O69" s="1">
        <f t="shared" si="14"/>
        <v>311.4544025157233</v>
      </c>
      <c r="P69" s="1">
        <f t="shared" si="9"/>
        <v>232.2955974842767</v>
      </c>
      <c r="Q69" s="1">
        <f t="shared" si="13"/>
        <v>232.2955974842767</v>
      </c>
      <c r="R69" s="1">
        <f t="shared" si="10"/>
        <v>53961.244610577101</v>
      </c>
      <c r="S69" s="1">
        <f t="shared" si="12"/>
        <v>1.2221344674251034E-2</v>
      </c>
    </row>
    <row r="70" spans="1:19" x14ac:dyDescent="0.25">
      <c r="A70" s="1">
        <v>2019</v>
      </c>
      <c r="B70" s="1">
        <v>6891</v>
      </c>
      <c r="C70" s="1">
        <v>12</v>
      </c>
      <c r="D70" s="1">
        <f t="shared" si="15"/>
        <v>574.25</v>
      </c>
      <c r="E70" s="1">
        <f>D69</f>
        <v>551.16666666666663</v>
      </c>
      <c r="F70" s="1">
        <f t="shared" ref="F70:F76" si="19">D70-E70</f>
        <v>23.083333333333371</v>
      </c>
      <c r="G70" s="1">
        <f t="shared" si="16"/>
        <v>23.083333333333371</v>
      </c>
      <c r="H70" s="1">
        <f t="shared" si="17"/>
        <v>532.84027777777953</v>
      </c>
      <c r="I70" s="1">
        <f t="shared" si="18"/>
        <v>4.019735887389355E-2</v>
      </c>
      <c r="J70" s="1">
        <f>AVERAGE(D3:D69)</f>
        <v>291.90920398009956</v>
      </c>
      <c r="K70" s="1">
        <f t="shared" ref="K70:K76" si="20">E70-J70</f>
        <v>259.25746268656707</v>
      </c>
      <c r="L70" s="1">
        <f t="shared" si="11"/>
        <v>259.25746268656707</v>
      </c>
      <c r="M70" s="1">
        <f t="shared" ref="M70:M76" si="21">K70^2</f>
        <v>67214.431958676709</v>
      </c>
      <c r="N70" s="1">
        <f t="shared" ref="N70:N76" si="22">ABS(K70/I70)</f>
        <v>6449.614351527548</v>
      </c>
      <c r="O70" s="1">
        <f t="shared" si="14"/>
        <v>317.45597484276732</v>
      </c>
      <c r="P70" s="1">
        <f t="shared" ref="P70:P76" si="23">D69-O70</f>
        <v>233.71069182389931</v>
      </c>
      <c r="Q70" s="1">
        <f t="shared" si="13"/>
        <v>233.71069182389931</v>
      </c>
      <c r="R70" s="1">
        <f t="shared" ref="R70:R76" si="24">P70^2</f>
        <v>54620.687472805635</v>
      </c>
      <c r="S70" s="1">
        <f t="shared" si="12"/>
        <v>3.623638237665272E-2</v>
      </c>
    </row>
    <row r="71" spans="1:19" x14ac:dyDescent="0.25">
      <c r="A71" s="1">
        <v>2020</v>
      </c>
      <c r="B71" s="1">
        <v>7163</v>
      </c>
      <c r="C71" s="1">
        <v>12</v>
      </c>
      <c r="D71" s="1">
        <f t="shared" si="15"/>
        <v>596.91666666666663</v>
      </c>
      <c r="E71" s="1">
        <f t="shared" ref="E71:E76" si="25">D70</f>
        <v>574.25</v>
      </c>
      <c r="F71" s="1">
        <f t="shared" si="19"/>
        <v>22.666666666666629</v>
      </c>
      <c r="G71" s="1">
        <f t="shared" si="16"/>
        <v>22.666666666666629</v>
      </c>
      <c r="H71" s="1">
        <f t="shared" si="17"/>
        <v>513.77777777777601</v>
      </c>
      <c r="I71" s="1">
        <f t="shared" si="18"/>
        <v>3.7972916375820127E-2</v>
      </c>
      <c r="J71" s="1">
        <f>AVERAGE(D3:D70)</f>
        <v>296.06127450980398</v>
      </c>
      <c r="K71" s="1">
        <f t="shared" si="20"/>
        <v>278.18872549019602</v>
      </c>
      <c r="L71" s="1">
        <f t="shared" ref="L71:L75" si="26">ABS(K71)</f>
        <v>278.18872549019602</v>
      </c>
      <c r="M71" s="1">
        <f t="shared" si="21"/>
        <v>77388.966989859633</v>
      </c>
      <c r="N71" s="1">
        <f t="shared" si="22"/>
        <v>7325.9773554642543</v>
      </c>
      <c r="O71" s="1">
        <f t="shared" si="14"/>
        <v>323.79245283018872</v>
      </c>
      <c r="P71" s="1">
        <f t="shared" si="23"/>
        <v>250.45754716981128</v>
      </c>
      <c r="Q71" s="1">
        <f t="shared" si="13"/>
        <v>250.45754716981128</v>
      </c>
      <c r="R71" s="1">
        <f t="shared" si="24"/>
        <v>62728.982934318243</v>
      </c>
      <c r="S71" s="1">
        <f t="shared" ref="S71:S75" si="27">ABS(P71/N71)</f>
        <v>3.4187595049417069E-2</v>
      </c>
    </row>
    <row r="72" spans="1:19" x14ac:dyDescent="0.25">
      <c r="A72" s="1">
        <v>2021</v>
      </c>
      <c r="B72" s="1">
        <v>7362</v>
      </c>
      <c r="C72" s="1">
        <v>12</v>
      </c>
      <c r="D72" s="1">
        <f t="shared" si="15"/>
        <v>613.5</v>
      </c>
      <c r="E72" s="1">
        <f t="shared" si="25"/>
        <v>596.91666666666663</v>
      </c>
      <c r="F72" s="1">
        <f t="shared" si="19"/>
        <v>16.583333333333371</v>
      </c>
      <c r="G72" s="1">
        <f t="shared" si="16"/>
        <v>16.583333333333371</v>
      </c>
      <c r="H72" s="1">
        <f t="shared" si="17"/>
        <v>275.00694444444571</v>
      </c>
      <c r="I72" s="1">
        <f>ABS(F72/D72)</f>
        <v>2.7030698179842497E-2</v>
      </c>
      <c r="J72" s="1">
        <f>AVERAGE(D3:D71)</f>
        <v>300.42149758454116</v>
      </c>
      <c r="K72" s="1">
        <f t="shared" si="20"/>
        <v>296.49516908212547</v>
      </c>
      <c r="L72" s="1">
        <f t="shared" si="26"/>
        <v>296.49516908212547</v>
      </c>
      <c r="M72" s="1">
        <f t="shared" si="21"/>
        <v>87909.385289038168</v>
      </c>
      <c r="N72" s="1">
        <f t="shared" si="22"/>
        <v>10968.831330565843</v>
      </c>
      <c r="O72" s="1">
        <f t="shared" si="14"/>
        <v>330.4905660377359</v>
      </c>
      <c r="P72" s="1">
        <f t="shared" si="23"/>
        <v>266.42610062893073</v>
      </c>
      <c r="Q72" s="1">
        <f t="shared" si="13"/>
        <v>266.42610062893073</v>
      </c>
      <c r="R72" s="1">
        <f t="shared" si="24"/>
        <v>70982.867096337126</v>
      </c>
      <c r="S72" s="1">
        <f t="shared" si="27"/>
        <v>2.4289378931965651E-2</v>
      </c>
    </row>
    <row r="73" spans="1:19" x14ac:dyDescent="0.25">
      <c r="A73" s="1">
        <v>2022</v>
      </c>
      <c r="B73" s="1">
        <v>7492</v>
      </c>
      <c r="C73" s="1">
        <v>12</v>
      </c>
      <c r="D73" s="1">
        <f>B73/C73</f>
        <v>624.33333333333337</v>
      </c>
      <c r="E73" s="1">
        <f t="shared" si="25"/>
        <v>613.5</v>
      </c>
      <c r="F73" s="1">
        <f t="shared" si="19"/>
        <v>10.833333333333371</v>
      </c>
      <c r="G73" s="1">
        <f t="shared" si="16"/>
        <v>10.833333333333371</v>
      </c>
      <c r="H73" s="1">
        <f t="shared" si="17"/>
        <v>117.36111111111194</v>
      </c>
      <c r="I73" s="1">
        <f t="shared" si="18"/>
        <v>1.7351841964762475E-2</v>
      </c>
      <c r="J73" s="1">
        <f>AVERAGE(D3:D72)</f>
        <v>304.89404761904768</v>
      </c>
      <c r="K73" s="1">
        <f t="shared" si="20"/>
        <v>308.60595238095232</v>
      </c>
      <c r="L73" s="1">
        <f t="shared" si="26"/>
        <v>308.60595238095232</v>
      </c>
      <c r="M73" s="1">
        <f t="shared" si="21"/>
        <v>95237.633844954602</v>
      </c>
      <c r="N73" s="1">
        <f t="shared" si="22"/>
        <v>17785.198424908358</v>
      </c>
      <c r="O73" s="1">
        <f t="shared" si="14"/>
        <v>337.29402515723274</v>
      </c>
      <c r="P73" s="1">
        <f t="shared" si="23"/>
        <v>276.20597484276726</v>
      </c>
      <c r="Q73" s="1">
        <f t="shared" ref="Q73:Q76" si="28">ABS(P73)</f>
        <v>276.20597484276726</v>
      </c>
      <c r="R73" s="1">
        <f t="shared" si="24"/>
        <v>76289.740538843384</v>
      </c>
      <c r="S73" s="1">
        <f t="shared" si="27"/>
        <v>1.5530103642585055E-2</v>
      </c>
    </row>
    <row r="74" spans="1:19" x14ac:dyDescent="0.25">
      <c r="A74" s="1">
        <v>2023</v>
      </c>
      <c r="B74" s="1">
        <v>7748</v>
      </c>
      <c r="C74" s="1">
        <v>12</v>
      </c>
      <c r="D74" s="1">
        <f t="shared" si="15"/>
        <v>645.66666666666663</v>
      </c>
      <c r="E74" s="1">
        <f t="shared" si="25"/>
        <v>624.33333333333337</v>
      </c>
      <c r="F74" s="1">
        <f t="shared" si="19"/>
        <v>21.333333333333258</v>
      </c>
      <c r="G74" s="1">
        <f t="shared" si="16"/>
        <v>21.333333333333258</v>
      </c>
      <c r="H74" s="1">
        <f>F74^2</f>
        <v>455.1111111111079</v>
      </c>
      <c r="I74" s="1">
        <f t="shared" si="18"/>
        <v>3.3040784718636952E-2</v>
      </c>
      <c r="J74" s="1">
        <f>AVERAGE(D3:D73)</f>
        <v>309.39319248826297</v>
      </c>
      <c r="K74" s="1">
        <f t="shared" si="20"/>
        <v>314.9401408450704</v>
      </c>
      <c r="L74" s="1">
        <f t="shared" si="26"/>
        <v>314.9401408450704</v>
      </c>
      <c r="M74" s="1">
        <f t="shared" si="21"/>
        <v>99187.292315512779</v>
      </c>
      <c r="N74" s="1">
        <f t="shared" si="22"/>
        <v>9531.8602002641164</v>
      </c>
      <c r="O74" s="1">
        <f t="shared" si="14"/>
        <v>344.3820754716981</v>
      </c>
      <c r="P74" s="1">
        <f t="shared" si="23"/>
        <v>279.95125786163527</v>
      </c>
      <c r="Q74" s="1">
        <f t="shared" si="28"/>
        <v>279.95125786163527</v>
      </c>
      <c r="R74" s="1">
        <f t="shared" si="24"/>
        <v>78372.706778311796</v>
      </c>
      <c r="S74" s="1">
        <f t="shared" si="27"/>
        <v>2.9370054950436448E-2</v>
      </c>
    </row>
    <row r="75" spans="1:19" x14ac:dyDescent="0.25">
      <c r="A75" s="1">
        <v>2024</v>
      </c>
      <c r="B75" s="1">
        <v>8239</v>
      </c>
      <c r="C75" s="1">
        <v>12</v>
      </c>
      <c r="D75" s="1">
        <f t="shared" si="15"/>
        <v>686.58333333333337</v>
      </c>
      <c r="E75" s="1">
        <f t="shared" si="25"/>
        <v>645.66666666666663</v>
      </c>
      <c r="F75" s="1">
        <f t="shared" si="19"/>
        <v>40.916666666666742</v>
      </c>
      <c r="G75" s="1">
        <f t="shared" si="16"/>
        <v>40.916666666666742</v>
      </c>
      <c r="H75" s="1">
        <f>F75^2</f>
        <v>1674.1736111111172</v>
      </c>
      <c r="I75" s="1">
        <f t="shared" si="18"/>
        <v>5.9594610996480266E-2</v>
      </c>
      <c r="J75" s="1">
        <f>AVERAGE(D3:D74)</f>
        <v>314.0636574074075</v>
      </c>
      <c r="K75" s="1">
        <f>E75-J75</f>
        <v>331.60300925925912</v>
      </c>
      <c r="L75" s="1">
        <f t="shared" si="26"/>
        <v>331.60300925925912</v>
      </c>
      <c r="M75" s="1">
        <f t="shared" si="21"/>
        <v>109960.55574979629</v>
      </c>
      <c r="N75" s="1">
        <f t="shared" si="22"/>
        <v>5564.3120026212446</v>
      </c>
      <c r="O75" s="1">
        <f t="shared" si="14"/>
        <v>351.93238993710696</v>
      </c>
      <c r="P75" s="1">
        <f>D74-O75</f>
        <v>293.73427672955967</v>
      </c>
      <c r="Q75" s="1">
        <f>ABS(P75)</f>
        <v>293.73427672955967</v>
      </c>
      <c r="R75" s="1">
        <f t="shared" si="24"/>
        <v>86279.825325837533</v>
      </c>
      <c r="S75" s="1">
        <f t="shared" si="27"/>
        <v>5.2788965929873609E-2</v>
      </c>
    </row>
    <row r="76" spans="1:19" x14ac:dyDescent="0.25">
      <c r="A76" s="1">
        <v>2025</v>
      </c>
      <c r="B76" s="1">
        <v>8675</v>
      </c>
      <c r="C76" s="1">
        <v>12</v>
      </c>
      <c r="D76" s="1">
        <f t="shared" si="15"/>
        <v>722.91666666666663</v>
      </c>
      <c r="E76" s="1">
        <f t="shared" si="25"/>
        <v>686.58333333333337</v>
      </c>
      <c r="F76" s="1">
        <f t="shared" si="19"/>
        <v>36.333333333333258</v>
      </c>
      <c r="G76" s="1">
        <f t="shared" si="16"/>
        <v>36.333333333333258</v>
      </c>
      <c r="H76" s="1">
        <f t="shared" si="17"/>
        <v>1320.1111111111056</v>
      </c>
      <c r="I76" s="1">
        <f t="shared" si="18"/>
        <v>5.0259365994236208E-2</v>
      </c>
      <c r="J76" s="1">
        <f>AVERAGE(D3:D75)</f>
        <v>319.16666666666674</v>
      </c>
      <c r="K76" s="1">
        <f t="shared" si="20"/>
        <v>367.41666666666663</v>
      </c>
      <c r="L76" s="1">
        <f>ABS(K76)</f>
        <v>367.41666666666663</v>
      </c>
      <c r="M76" s="1">
        <f t="shared" si="21"/>
        <v>134995.00694444441</v>
      </c>
      <c r="N76" s="1">
        <f t="shared" si="22"/>
        <v>7310.4118883792189</v>
      </c>
      <c r="O76" s="1">
        <f t="shared" si="14"/>
        <v>360.26100628930823</v>
      </c>
      <c r="P76" s="1">
        <f t="shared" si="23"/>
        <v>326.32232704402514</v>
      </c>
      <c r="Q76" s="1">
        <f t="shared" si="28"/>
        <v>326.32232704402514</v>
      </c>
      <c r="R76" s="1">
        <f t="shared" si="24"/>
        <v>106486.2611274277</v>
      </c>
      <c r="S76" s="1">
        <f>ABS(P76/N76)</f>
        <v>4.4638022046713105E-2</v>
      </c>
    </row>
    <row r="78" spans="1:19" x14ac:dyDescent="0.25">
      <c r="F78" t="s">
        <v>11</v>
      </c>
      <c r="G78">
        <f>AVERAGE(G3:G76)</f>
        <v>12.607305936073057</v>
      </c>
      <c r="H78">
        <f>AVERAGE(H3:H76)</f>
        <v>239.67503805175033</v>
      </c>
      <c r="L78">
        <f>AVERAGE(L3:L76)</f>
        <v>87.012562442261952</v>
      </c>
      <c r="M78">
        <f>AVERAGE(M3:M76)</f>
        <v>16200.416029240974</v>
      </c>
      <c r="Q78">
        <f>AVERAGE(Q4:Q76)</f>
        <v>233.24192297751367</v>
      </c>
      <c r="R78">
        <f>AVERAGE(R4:R76)</f>
        <v>57746.422277166268</v>
      </c>
    </row>
    <row r="79" spans="1:19" x14ac:dyDescent="0.25">
      <c r="F79" t="s">
        <v>12</v>
      </c>
      <c r="H79">
        <f>SQRT(H78)</f>
        <v>15.481441730399347</v>
      </c>
      <c r="M79">
        <f>SQRT(M78)</f>
        <v>127.28085492029417</v>
      </c>
      <c r="R79">
        <f>SQRT(R78)</f>
        <v>240.30485279570669</v>
      </c>
    </row>
    <row r="80" spans="1:19" x14ac:dyDescent="0.25">
      <c r="F80" t="s">
        <v>13</v>
      </c>
      <c r="I80">
        <f>AVERAGE(I3:I76)</f>
        <v>4.0429032321490747E-2</v>
      </c>
      <c r="N80">
        <f>AVERAGE(N3:N76)</f>
        <v>4814.8837990529173</v>
      </c>
      <c r="S80">
        <f>AVERAGE(S3:S76)</f>
        <v>0.59035044122571712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rukshani muhandiram</cp:lastModifiedBy>
  <dcterms:created xsi:type="dcterms:W3CDTF">2026-06-11T14:11:30Z</dcterms:created>
  <dcterms:modified xsi:type="dcterms:W3CDTF">2026-06-11T16:53:09Z</dcterms:modified>
</cp:coreProperties>
</file>